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5016DDCB-6839-4074-8406-4800A4AD8FC2}" xr6:coauthVersionLast="47" xr6:coauthVersionMax="47" xr10:uidLastSave="{00000000-0000-0000-0000-000000000000}"/>
  <bookViews>
    <workbookView xWindow="-1536" yWindow="1416" windowWidth="17832" windowHeight="9612" xr2:uid="{00000000-000D-0000-FFFF-FFFF00000000}"/>
  </bookViews>
  <sheets>
    <sheet name="国家基础" sheetId="1" r:id="rId1"/>
    <sheet name="疫情处置" sheetId="3" r:id="rId2"/>
  </sheets>
  <definedNames>
    <definedName name="_xlnm._FilterDatabase" localSheetId="0" hidden="1">国家基础!$A$1:$Q$94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2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7" i="1"/>
  <c r="H8" i="1"/>
  <c r="H9" i="1"/>
  <c r="H10" i="1"/>
  <c r="H11" i="1"/>
  <c r="H13" i="1"/>
  <c r="H14" i="1"/>
  <c r="H15" i="1"/>
  <c r="H16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7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8" i="1"/>
  <c r="G9" i="1"/>
  <c r="G10" i="1"/>
  <c r="G11" i="1"/>
  <c r="G12" i="1"/>
  <c r="G13" i="1"/>
  <c r="G14" i="1"/>
  <c r="G15" i="1"/>
  <c r="G16" i="1"/>
  <c r="G18" i="1"/>
  <c r="G7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2" i="1"/>
  <c r="C89" i="1"/>
  <c r="U72" i="1"/>
  <c r="U69" i="1"/>
  <c r="U65" i="1"/>
  <c r="U60" i="1"/>
  <c r="U54" i="1"/>
  <c r="U51" i="1"/>
  <c r="U44" i="1"/>
  <c r="U41" i="1"/>
  <c r="U35" i="1"/>
  <c r="E2" i="1"/>
  <c r="E3" i="1"/>
  <c r="E4" i="1"/>
  <c r="E5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90" i="1"/>
  <c r="C91" i="1"/>
  <c r="C92" i="1"/>
  <c r="C93" i="1"/>
  <c r="C94" i="1"/>
  <c r="N3" i="1"/>
  <c r="Q69" i="1"/>
  <c r="N69" i="1" s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2" i="1"/>
  <c r="B13" i="3"/>
  <c r="B12" i="3"/>
</calcChain>
</file>

<file path=xl/sharedStrings.xml><?xml version="1.0" encoding="utf-8"?>
<sst xmlns="http://schemas.openxmlformats.org/spreadsheetml/2006/main" count="133" uniqueCount="112">
  <si>
    <t>国家</t>
    <phoneticPr fontId="2" type="noConversion"/>
  </si>
  <si>
    <t>南非</t>
    <phoneticPr fontId="2" type="noConversion"/>
  </si>
  <si>
    <t>英国</t>
    <phoneticPr fontId="2" type="noConversion"/>
  </si>
  <si>
    <t>德国</t>
    <phoneticPr fontId="2" type="noConversion"/>
  </si>
  <si>
    <t>加拿大</t>
    <phoneticPr fontId="2" type="noConversion"/>
  </si>
  <si>
    <t>中国</t>
    <phoneticPr fontId="2" type="noConversion"/>
  </si>
  <si>
    <t>美国</t>
    <phoneticPr fontId="2" type="noConversion"/>
  </si>
  <si>
    <t>疫情处置措施</t>
    <phoneticPr fontId="1" type="noConversion"/>
  </si>
  <si>
    <t>监测与诊断</t>
    <phoneticPr fontId="2" type="noConversion"/>
  </si>
  <si>
    <t>医疗卫生就绪度</t>
    <phoneticPr fontId="2" type="noConversion"/>
  </si>
  <si>
    <t>老挝</t>
    <phoneticPr fontId="1" type="noConversion"/>
  </si>
  <si>
    <t>缅甸</t>
    <phoneticPr fontId="1" type="noConversion"/>
  </si>
  <si>
    <t>S1 采取限制措施并实施；S2颁布相关政策但未落实；S3 不采取限制措施</t>
    <phoneticPr fontId="1" type="noConversion"/>
  </si>
  <si>
    <t>人口密集程度（人/平方公里）</t>
    <phoneticPr fontId="2" type="noConversion"/>
  </si>
  <si>
    <t>感染情况</t>
    <phoneticPr fontId="2" type="noConversion"/>
  </si>
  <si>
    <t>涉疫面积</t>
    <phoneticPr fontId="2" type="noConversion"/>
  </si>
  <si>
    <t>瑞士</t>
  </si>
  <si>
    <t>以色列</t>
  </si>
  <si>
    <t>新加坡</t>
  </si>
  <si>
    <t>日本</t>
  </si>
  <si>
    <t>奥地利</t>
  </si>
  <si>
    <t>澳大利亚</t>
  </si>
  <si>
    <t>新西兰</t>
  </si>
  <si>
    <t>韩国</t>
  </si>
  <si>
    <t>阿拉伯联合酋长国</t>
  </si>
  <si>
    <t>挪威</t>
  </si>
  <si>
    <t>丹麦</t>
  </si>
  <si>
    <t>台湾</t>
  </si>
  <si>
    <t>沙特阿拉伯</t>
  </si>
  <si>
    <t>匈牙利</t>
  </si>
  <si>
    <t>越南</t>
  </si>
  <si>
    <t>科威特</t>
  </si>
  <si>
    <t>冰岛</t>
  </si>
  <si>
    <t>巴林</t>
  </si>
  <si>
    <t>芬兰</t>
  </si>
  <si>
    <t>卢森堡</t>
  </si>
  <si>
    <t>卡塔尔</t>
  </si>
  <si>
    <t>波兰</t>
  </si>
  <si>
    <t>立陶宛</t>
  </si>
  <si>
    <t>马来西亚</t>
  </si>
  <si>
    <t>拉脱维亚</t>
  </si>
  <si>
    <t>斯洛文尼亚</t>
  </si>
  <si>
    <t>阿曼</t>
  </si>
  <si>
    <t>希腊</t>
  </si>
  <si>
    <t>爱沙尼亚</t>
  </si>
  <si>
    <t>克罗地亚</t>
  </si>
  <si>
    <t>土耳其</t>
  </si>
  <si>
    <t>格鲁吉亚</t>
  </si>
  <si>
    <t>塞浦路斯</t>
  </si>
  <si>
    <t>智利</t>
  </si>
  <si>
    <t>黑山</t>
  </si>
  <si>
    <t>捷克共和国</t>
  </si>
  <si>
    <t>马耳他</t>
  </si>
  <si>
    <t>葡萄牙</t>
  </si>
  <si>
    <t>泰国</t>
  </si>
  <si>
    <t>保加利亚</t>
  </si>
  <si>
    <t>格陵兰</t>
  </si>
  <si>
    <t>墨西哥</t>
  </si>
  <si>
    <t>乌拉圭</t>
  </si>
  <si>
    <t>意大利</t>
  </si>
  <si>
    <t>塞尔维亚</t>
  </si>
  <si>
    <t>菲律宾</t>
  </si>
  <si>
    <t>印度</t>
  </si>
  <si>
    <t>罗马尼亚</t>
  </si>
  <si>
    <t>斯洛伐克</t>
  </si>
  <si>
    <t>法国</t>
  </si>
  <si>
    <t>俄罗斯</t>
  </si>
  <si>
    <t>阿根廷</t>
  </si>
  <si>
    <t>白俄罗斯</t>
  </si>
  <si>
    <t>瑞典</t>
  </si>
  <si>
    <t>乌克兰</t>
  </si>
  <si>
    <t>哈萨克斯坦</t>
  </si>
  <si>
    <t>波斯尼亚和黑塞哥维那</t>
  </si>
  <si>
    <t>伊朗</t>
  </si>
  <si>
    <t>厄瓜多尔</t>
  </si>
  <si>
    <t>阿塞拜疆</t>
  </si>
  <si>
    <t>蒙古</t>
  </si>
  <si>
    <t>黎巴嫩</t>
  </si>
  <si>
    <t>比利时</t>
  </si>
  <si>
    <t>安道尔</t>
  </si>
  <si>
    <t>亚美尼亚</t>
  </si>
  <si>
    <t>摩尔多瓦</t>
  </si>
  <si>
    <t>缅甸</t>
  </si>
  <si>
    <t>孟加拉国</t>
  </si>
  <si>
    <t>斯里兰卡</t>
  </si>
  <si>
    <t>埃及</t>
  </si>
  <si>
    <t>突尼斯</t>
  </si>
  <si>
    <t>阿尔巴尼亚</t>
  </si>
  <si>
    <t>约旦</t>
  </si>
  <si>
    <t>巴拿马</t>
  </si>
  <si>
    <t>巴西</t>
  </si>
  <si>
    <t>摩洛哥</t>
  </si>
  <si>
    <t>阿尔及利亚</t>
  </si>
  <si>
    <t>洪都拉斯</t>
  </si>
  <si>
    <t>巴拉圭</t>
  </si>
  <si>
    <t>秘鲁</t>
  </si>
  <si>
    <t>印度尼西亚</t>
  </si>
  <si>
    <t>柬埔寨</t>
  </si>
  <si>
    <t>荷兰</t>
    <phoneticPr fontId="1" type="noConversion"/>
  </si>
  <si>
    <t>爱尔兰</t>
    <phoneticPr fontId="1" type="noConversion"/>
  </si>
  <si>
    <t>西班牙</t>
    <phoneticPr fontId="1" type="noConversion"/>
  </si>
  <si>
    <t>群众生活水平w$</t>
    <phoneticPr fontId="1" type="noConversion"/>
  </si>
  <si>
    <t>国家发展水平</t>
  </si>
  <si>
    <t>医疗质量和可及性指数</t>
  </si>
  <si>
    <t>累计确诊人数</t>
    <phoneticPr fontId="1" type="noConversion"/>
  </si>
  <si>
    <t>总人数</t>
    <phoneticPr fontId="1" type="noConversion"/>
  </si>
  <si>
    <t>应急准备情况</t>
    <phoneticPr fontId="1" type="noConversion"/>
  </si>
  <si>
    <t>政府关系效率</t>
    <phoneticPr fontId="1" type="noConversion"/>
  </si>
  <si>
    <t>教育程度</t>
  </si>
  <si>
    <t>低龄人口分布</t>
  </si>
  <si>
    <t>净移民数</t>
    <phoneticPr fontId="1" type="noConversion"/>
  </si>
  <si>
    <t>移民人口数占比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</si>
</sst>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C9BD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/>
    <xf numFmtId="0" fontId="4" fillId="0" borderId="0" xfId="1">
      <alignment vertical="center"/>
    </xf>
    <xf numFmtId="0" fontId="3" fillId="0" borderId="0" xfId="1" applyFo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4" borderId="0" xfId="0" applyFill="1" applyAlignment="1">
      <alignment vertical="center"/>
    </xf>
    <xf numFmtId="0" fontId="0" fillId="4" borderId="0" xfId="0" applyFill="1"/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3" borderId="1" xfId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right"/>
    </xf>
    <xf numFmtId="0" fontId="0" fillId="3" borderId="1" xfId="0" applyFill="1" applyBorder="1"/>
    <xf numFmtId="0" fontId="3" fillId="3" borderId="1" xfId="1" applyFont="1" applyFill="1" applyBorder="1">
      <alignment vertic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4" fillId="2" borderId="1" xfId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right"/>
    </xf>
    <xf numFmtId="0" fontId="0" fillId="4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1" xfId="1" applyBorder="1" applyAlignment="1">
      <alignment horizontal="center"/>
    </xf>
    <xf numFmtId="0" fontId="3" fillId="4" borderId="1" xfId="1" applyFont="1" applyFill="1" applyBorder="1">
      <alignment vertic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4" fillId="2" borderId="2" xfId="1" applyFill="1" applyBorder="1" applyAlignment="1">
      <alignment horizontal="center"/>
    </xf>
    <xf numFmtId="176" fontId="4" fillId="0" borderId="2" xfId="1" applyNumberFormat="1" applyBorder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6" fillId="2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6" fillId="0" borderId="3" xfId="0" applyFont="1" applyFill="1" applyBorder="1"/>
    <xf numFmtId="0" fontId="0" fillId="2" borderId="0" xfId="0" applyFill="1" applyAlignment="1">
      <alignment horizontal="center"/>
    </xf>
  </cellXfs>
  <cellStyles count="2">
    <cellStyle name="常规" xfId="0" builtinId="0"/>
    <cellStyle name="常规 2" xfId="1" xr:uid="{C2820111-C542-4AA5-A450-9A1CE9FB3B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830580</xdr:colOff>
      <xdr:row>1</xdr:row>
      <xdr:rowOff>152400</xdr:rowOff>
    </xdr:from>
    <xdr:to>
      <xdr:col>3</xdr:col>
      <xdr:colOff>441960</xdr:colOff>
      <xdr:row>15</xdr:row>
      <xdr:rowOff>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6FBF46EA-EF33-4781-89E0-D63EA7E6A4E5}"/>
            </a:ext>
          </a:extLst>
        </xdr:cNvPr>
        <xdr:cNvCxnSpPr/>
      </xdr:nvCxnSpPr>
      <xdr:spPr>
        <a:xfrm flipH="1" flipV="1">
          <a:off x="2720340" y="327660"/>
          <a:ext cx="487680" cy="2301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204"/>
  <sheetViews>
    <sheetView tabSelected="1" topLeftCell="F1" zoomScale="85" zoomScaleNormal="85" workbookViewId="0">
      <pane ySplit="1" topLeftCell="A2" activePane="bottomLeft" state="frozen"/>
      <selection pane="bottomLeft" activeCell="V9" sqref="V9"/>
    </sheetView>
  </sheetViews>
  <sheetFormatPr defaultRowHeight="13.8" x14ac:dyDescent="0.25"/>
  <cols>
    <col min="1" max="1" width="7.44140625" customWidth="1"/>
    <col min="2" max="2" width="12.5546875" style="2" customWidth="1"/>
    <col min="3" max="3" width="9.109375" bestFit="1" customWidth="1"/>
    <col min="4" max="4" width="7.44140625" style="35" customWidth="1"/>
    <col min="5" max="5" width="6.88671875" customWidth="1"/>
    <col min="6" max="7" width="9.5546875" bestFit="1" customWidth="1"/>
    <col min="9" max="9" width="6.109375" customWidth="1"/>
    <col min="10" max="10" width="7" customWidth="1"/>
    <col min="11" max="11" width="11.21875" customWidth="1"/>
    <col min="12" max="13" width="8.6640625" style="2"/>
    <col min="14" max="14" width="8.6640625"/>
    <col min="15" max="15" width="8.6640625" style="2"/>
    <col min="16" max="16" width="12.5546875" style="27" customWidth="1"/>
    <col min="17" max="17" width="11.21875" style="27" bestFit="1" customWidth="1"/>
    <col min="18" max="18" width="5.5546875" customWidth="1"/>
    <col min="19" max="19" width="7.44140625" style="35" customWidth="1"/>
    <col min="20" max="20" width="6.88671875" customWidth="1"/>
    <col min="21" max="21" width="9.5546875" bestFit="1" customWidth="1"/>
    <col min="23" max="23" width="6.109375" customWidth="1"/>
    <col min="24" max="24" width="7" customWidth="1"/>
    <col min="25" max="25" width="11.21875" customWidth="1"/>
    <col min="26" max="27" width="9.5546875" bestFit="1" customWidth="1"/>
  </cols>
  <sheetData>
    <row r="1" spans="1:27" s="3" customFormat="1" ht="13.8" customHeight="1" x14ac:dyDescent="0.25">
      <c r="A1" s="18" t="s">
        <v>0</v>
      </c>
      <c r="B1" s="19" t="s">
        <v>102</v>
      </c>
      <c r="C1" s="33" t="s">
        <v>106</v>
      </c>
      <c r="D1" s="3" t="s">
        <v>107</v>
      </c>
      <c r="E1" s="36" t="s">
        <v>103</v>
      </c>
      <c r="F1" s="3" t="s">
        <v>111</v>
      </c>
      <c r="G1" s="44" t="s">
        <v>108</v>
      </c>
      <c r="H1" s="44" t="s">
        <v>109</v>
      </c>
      <c r="I1" s="18" t="s">
        <v>13</v>
      </c>
      <c r="J1" s="18" t="s">
        <v>101</v>
      </c>
      <c r="K1" s="18" t="s">
        <v>8</v>
      </c>
      <c r="L1" s="19" t="s">
        <v>9</v>
      </c>
      <c r="M1" s="36" t="s">
        <v>7</v>
      </c>
      <c r="N1" s="20" t="s">
        <v>14</v>
      </c>
      <c r="O1" s="37" t="s">
        <v>15</v>
      </c>
      <c r="P1" s="41" t="s">
        <v>104</v>
      </c>
      <c r="Q1" s="41" t="s">
        <v>105</v>
      </c>
      <c r="R1" s="3" t="s">
        <v>107</v>
      </c>
      <c r="S1" s="33" t="s">
        <v>106</v>
      </c>
      <c r="T1" s="36" t="s">
        <v>103</v>
      </c>
      <c r="U1" s="44" t="s">
        <v>108</v>
      </c>
      <c r="V1" s="44" t="s">
        <v>109</v>
      </c>
      <c r="W1" s="18" t="s">
        <v>13</v>
      </c>
      <c r="X1" s="18" t="s">
        <v>101</v>
      </c>
      <c r="Y1" s="18" t="s">
        <v>8</v>
      </c>
      <c r="Z1" s="3" t="s">
        <v>110</v>
      </c>
      <c r="AA1" s="3" t="s">
        <v>111</v>
      </c>
    </row>
    <row r="2" spans="1:27" s="7" customFormat="1" x14ac:dyDescent="0.25">
      <c r="A2" s="10" t="s">
        <v>1</v>
      </c>
      <c r="B2" s="13">
        <v>2</v>
      </c>
      <c r="C2" s="10">
        <v>2</v>
      </c>
      <c r="D2" s="14">
        <v>2</v>
      </c>
      <c r="E2" s="27" t="str">
        <f t="shared" ref="E2:E6" si="0">IF(T2&gt;80,"1",IF(T2&lt;60,"3","2"))</f>
        <v>3</v>
      </c>
      <c r="F2" t="str">
        <f>IF(AA2&gt;0.05,"1",IF(AA2&gt;0.03,"2",IF(AA2&gt;0.01,"3",IF(AA2&gt;0,"4","5"))))</f>
        <v>4</v>
      </c>
      <c r="G2" s="45">
        <v>3</v>
      </c>
      <c r="H2" s="45">
        <v>1</v>
      </c>
      <c r="I2" s="10">
        <v>2</v>
      </c>
      <c r="J2" s="10">
        <v>2</v>
      </c>
      <c r="K2" s="15">
        <v>2</v>
      </c>
      <c r="L2" s="32">
        <v>3</v>
      </c>
      <c r="M2" s="32">
        <v>3</v>
      </c>
      <c r="N2" s="28" t="str">
        <f>IF(P2/Q2&gt;0.14,"1",IF(P2/Q2&lt;0.07,"3","2"))</f>
        <v>3</v>
      </c>
      <c r="O2" s="38">
        <v>1</v>
      </c>
      <c r="P2" s="42">
        <v>3693532</v>
      </c>
      <c r="Q2" s="42">
        <v>59300000</v>
      </c>
      <c r="R2" s="10">
        <v>2</v>
      </c>
      <c r="S2" s="14">
        <v>2</v>
      </c>
      <c r="T2" s="15">
        <v>50</v>
      </c>
      <c r="U2" s="45">
        <v>3</v>
      </c>
      <c r="V2" s="45">
        <v>1</v>
      </c>
      <c r="W2" s="10">
        <v>2</v>
      </c>
      <c r="X2" s="10">
        <v>2</v>
      </c>
      <c r="Y2" s="15">
        <v>2</v>
      </c>
      <c r="Z2">
        <v>300000</v>
      </c>
      <c r="AA2">
        <f>Z2/Q2</f>
        <v>5.0590219224283303E-3</v>
      </c>
    </row>
    <row r="3" spans="1:27" s="7" customFormat="1" x14ac:dyDescent="0.25">
      <c r="A3" s="10" t="s">
        <v>2</v>
      </c>
      <c r="B3" s="13">
        <v>1</v>
      </c>
      <c r="C3" s="10">
        <v>3</v>
      </c>
      <c r="D3" s="14">
        <v>2</v>
      </c>
      <c r="E3" s="27" t="str">
        <f t="shared" si="0"/>
        <v>1</v>
      </c>
      <c r="F3" t="str">
        <f t="shared" ref="F3:F66" si="1">IF(AA3&gt;0.05,"1",IF(AA3&gt;0.03,"2",IF(AA3&gt;0.01,"3",IF(AA3&gt;0,"4","5"))))</f>
        <v>3</v>
      </c>
      <c r="G3" s="45">
        <v>2</v>
      </c>
      <c r="H3" s="45">
        <v>2</v>
      </c>
      <c r="I3" s="10">
        <v>1</v>
      </c>
      <c r="J3" s="10">
        <v>1</v>
      </c>
      <c r="K3" s="15">
        <v>3</v>
      </c>
      <c r="L3" s="32">
        <v>2</v>
      </c>
      <c r="M3" s="32">
        <v>3</v>
      </c>
      <c r="N3" s="28" t="str">
        <f>IF(P3/Q3&gt;0.14,"1",IF(P3/Q3&lt;0.07,"3","2"))</f>
        <v>1</v>
      </c>
      <c r="O3" s="38">
        <v>1</v>
      </c>
      <c r="P3" s="42">
        <v>19530485</v>
      </c>
      <c r="Q3" s="42">
        <v>67200000</v>
      </c>
      <c r="R3" s="10">
        <v>3</v>
      </c>
      <c r="S3" s="14">
        <v>2</v>
      </c>
      <c r="T3" s="15">
        <v>90</v>
      </c>
      <c r="U3" s="45">
        <v>2</v>
      </c>
      <c r="V3" s="45">
        <v>2</v>
      </c>
      <c r="W3" s="10">
        <v>1</v>
      </c>
      <c r="X3" s="10">
        <v>1</v>
      </c>
      <c r="Y3" s="15">
        <v>3</v>
      </c>
      <c r="Z3">
        <v>900000</v>
      </c>
      <c r="AA3">
        <f t="shared" ref="AA3:AA66" si="2">Z3/Q3</f>
        <v>1.3392857142857142E-2</v>
      </c>
    </row>
    <row r="4" spans="1:27" s="7" customFormat="1" ht="13.2" customHeight="1" x14ac:dyDescent="0.25">
      <c r="A4" s="10" t="s">
        <v>3</v>
      </c>
      <c r="B4" s="13">
        <v>1</v>
      </c>
      <c r="C4" s="10">
        <v>1</v>
      </c>
      <c r="D4" s="14">
        <v>2</v>
      </c>
      <c r="E4" s="27" t="str">
        <f t="shared" si="0"/>
        <v>1</v>
      </c>
      <c r="F4" t="str">
        <f t="shared" si="1"/>
        <v>3</v>
      </c>
      <c r="G4" s="45">
        <v>2</v>
      </c>
      <c r="H4" s="45">
        <v>3</v>
      </c>
      <c r="I4" s="10">
        <v>1</v>
      </c>
      <c r="J4" s="10">
        <v>1</v>
      </c>
      <c r="K4" s="15">
        <v>1</v>
      </c>
      <c r="L4" s="32">
        <v>1</v>
      </c>
      <c r="M4" s="32">
        <v>2</v>
      </c>
      <c r="N4" s="28" t="str">
        <f t="shared" ref="N4:N63" si="3">IF(P4/Q4&gt;0.14,"1",IF(P4/Q4&lt;0.07,"3","2"))</f>
        <v>1</v>
      </c>
      <c r="O4" s="38">
        <v>1</v>
      </c>
      <c r="P4" s="42">
        <v>17240479</v>
      </c>
      <c r="Q4" s="42">
        <v>83200000</v>
      </c>
      <c r="R4" s="10">
        <v>1</v>
      </c>
      <c r="S4" s="14">
        <v>2</v>
      </c>
      <c r="T4" s="15">
        <v>92</v>
      </c>
      <c r="U4" s="45">
        <v>2</v>
      </c>
      <c r="V4" s="45">
        <v>3</v>
      </c>
      <c r="W4" s="10">
        <v>1</v>
      </c>
      <c r="X4" s="10">
        <v>1</v>
      </c>
      <c r="Y4" s="15">
        <v>1</v>
      </c>
      <c r="Z4">
        <v>1850000</v>
      </c>
      <c r="AA4">
        <f t="shared" si="2"/>
        <v>2.2235576923076924E-2</v>
      </c>
    </row>
    <row r="5" spans="1:27" s="9" customFormat="1" ht="10.8" customHeight="1" x14ac:dyDescent="0.25">
      <c r="A5" s="29" t="s">
        <v>10</v>
      </c>
      <c r="B5" s="30">
        <v>3</v>
      </c>
      <c r="C5" s="23">
        <v>2</v>
      </c>
      <c r="D5" s="22">
        <v>3</v>
      </c>
      <c r="E5" s="27" t="str">
        <f t="shared" si="0"/>
        <v>3</v>
      </c>
      <c r="F5" t="str">
        <f t="shared" si="1"/>
        <v>5</v>
      </c>
      <c r="G5" s="46">
        <v>3</v>
      </c>
      <c r="H5" s="46">
        <v>1</v>
      </c>
      <c r="I5" s="11">
        <v>2</v>
      </c>
      <c r="J5" s="11">
        <v>3</v>
      </c>
      <c r="K5" s="23">
        <v>2</v>
      </c>
      <c r="L5" s="32">
        <v>3</v>
      </c>
      <c r="M5" s="32">
        <v>2</v>
      </c>
      <c r="N5" s="28" t="str">
        <f t="shared" si="3"/>
        <v>3</v>
      </c>
      <c r="O5" s="39">
        <v>2</v>
      </c>
      <c r="P5" s="42">
        <v>146328</v>
      </c>
      <c r="Q5" s="42">
        <v>7275600</v>
      </c>
      <c r="R5" s="23">
        <v>2</v>
      </c>
      <c r="S5" s="22">
        <v>3</v>
      </c>
      <c r="T5" s="23">
        <v>37</v>
      </c>
      <c r="U5" s="46">
        <v>3</v>
      </c>
      <c r="V5" s="46">
        <v>1</v>
      </c>
      <c r="W5" s="11">
        <v>2</v>
      </c>
      <c r="X5" s="11">
        <v>3</v>
      </c>
      <c r="Y5" s="23">
        <v>2</v>
      </c>
      <c r="Z5">
        <v>-73518</v>
      </c>
      <c r="AA5">
        <f t="shared" si="2"/>
        <v>-1.0104733630216065E-2</v>
      </c>
    </row>
    <row r="6" spans="1:27" s="7" customFormat="1" x14ac:dyDescent="0.25">
      <c r="A6" s="12" t="s">
        <v>11</v>
      </c>
      <c r="B6" s="17">
        <v>3</v>
      </c>
      <c r="C6" s="31">
        <v>2</v>
      </c>
      <c r="D6" s="14">
        <v>2</v>
      </c>
      <c r="E6" s="27" t="str">
        <f t="shared" si="0"/>
        <v>3</v>
      </c>
      <c r="F6" t="str">
        <f t="shared" si="1"/>
        <v>5</v>
      </c>
      <c r="G6" s="45">
        <v>3</v>
      </c>
      <c r="H6" s="45">
        <v>1</v>
      </c>
      <c r="I6" s="10">
        <v>2</v>
      </c>
      <c r="J6" s="10">
        <v>3</v>
      </c>
      <c r="K6" s="15">
        <v>3</v>
      </c>
      <c r="L6" s="32">
        <v>3</v>
      </c>
      <c r="M6" s="32">
        <v>3</v>
      </c>
      <c r="N6" s="28" t="str">
        <f t="shared" si="3"/>
        <v>3</v>
      </c>
      <c r="O6" s="39">
        <v>1</v>
      </c>
      <c r="P6" s="42">
        <v>605347</v>
      </c>
      <c r="Q6" s="42">
        <v>54000000</v>
      </c>
      <c r="R6" s="31">
        <v>2</v>
      </c>
      <c r="S6" s="14">
        <v>2</v>
      </c>
      <c r="T6" s="15">
        <v>42</v>
      </c>
      <c r="U6" s="45">
        <v>3</v>
      </c>
      <c r="V6" s="45">
        <v>1</v>
      </c>
      <c r="W6" s="10">
        <v>2</v>
      </c>
      <c r="X6" s="10">
        <v>3</v>
      </c>
      <c r="Y6" s="15">
        <v>3</v>
      </c>
      <c r="Z6">
        <v>-99998</v>
      </c>
      <c r="AA6">
        <f t="shared" si="2"/>
        <v>-1.8518148148148148E-3</v>
      </c>
    </row>
    <row r="7" spans="1:27" x14ac:dyDescent="0.25">
      <c r="A7" s="27" t="s">
        <v>16</v>
      </c>
      <c r="B7" s="32">
        <v>1</v>
      </c>
      <c r="C7">
        <v>1</v>
      </c>
      <c r="D7" s="34" t="str">
        <f>IF(R7&gt;145,"1",IF(R7&lt;117,"3","2"))</f>
        <v>1</v>
      </c>
      <c r="E7" s="27" t="str">
        <f>IF(T7&gt;80,"1",IF(T7&lt;60,"3","2"))</f>
        <v>1</v>
      </c>
      <c r="F7" t="str">
        <f t="shared" si="1"/>
        <v>2</v>
      </c>
      <c r="G7" s="47" t="str">
        <f>IF(U7&gt;27,"1",IF(U7&gt;20,"2","3"))</f>
        <v>1</v>
      </c>
      <c r="H7" s="47" t="str">
        <f>IF(V7&gt;19,"1",IF(V7&gt;16,"2","3"))</f>
        <v>3</v>
      </c>
      <c r="I7" s="27" t="str">
        <f>IF(W7&gt;100,"1",IF(W7&gt;25,"2","3"))</f>
        <v>1</v>
      </c>
      <c r="J7" s="27" t="str">
        <f>IF(X7&gt;1.19,"1",IF(X7&gt;0.3856,"2",IF(X7&gt;0.0976,"3","4")))</f>
        <v>1</v>
      </c>
      <c r="K7" s="27" t="str">
        <f>IF(Y7&gt;103,"1",IF(Y7&gt;93,"2","3"))</f>
        <v>1</v>
      </c>
      <c r="L7" s="32">
        <v>1</v>
      </c>
      <c r="M7" s="32">
        <v>3</v>
      </c>
      <c r="N7" s="28" t="str">
        <f t="shared" si="3"/>
        <v>1</v>
      </c>
      <c r="O7" s="40">
        <v>1</v>
      </c>
      <c r="P7" s="42">
        <v>3058800</v>
      </c>
      <c r="Q7" s="42">
        <v>8636900</v>
      </c>
      <c r="R7" s="27">
        <v>188</v>
      </c>
      <c r="S7" s="34">
        <v>95</v>
      </c>
      <c r="T7" s="27">
        <v>96</v>
      </c>
      <c r="U7" s="47">
        <v>29.47</v>
      </c>
      <c r="V7" s="47">
        <v>14.96</v>
      </c>
      <c r="W7" s="27">
        <v>219</v>
      </c>
      <c r="X7" s="27">
        <v>8.66</v>
      </c>
      <c r="Y7" s="27">
        <v>131</v>
      </c>
      <c r="Z7">
        <v>259999</v>
      </c>
      <c r="AA7">
        <f t="shared" si="2"/>
        <v>3.0103277796431589E-2</v>
      </c>
    </row>
    <row r="8" spans="1:27" x14ac:dyDescent="0.25">
      <c r="A8" s="27" t="s">
        <v>17</v>
      </c>
      <c r="B8" s="32">
        <v>1</v>
      </c>
      <c r="C8" t="str">
        <f t="shared" ref="C8:C71" si="4">IF(S8&gt;91,"1",IF(S8&lt;63,"3","2"))</f>
        <v>1</v>
      </c>
      <c r="D8" s="34" t="str">
        <f t="shared" ref="D8:D71" si="5">IF(R8&gt;145,"1",IF(R8&lt;117,"3","2"))</f>
        <v>1</v>
      </c>
      <c r="E8" s="27" t="str">
        <f t="shared" ref="E8:E71" si="6">IF(T8&gt;80,"1",IF(T8&lt;60,"3","2"))</f>
        <v>1</v>
      </c>
      <c r="F8" t="str">
        <f t="shared" si="1"/>
        <v>4</v>
      </c>
      <c r="G8" s="47" t="str">
        <f t="shared" ref="G8:G71" si="7">IF(U8&gt;27,"1",IF(U8&gt;20,"2","3"))</f>
        <v>1</v>
      </c>
      <c r="H8" s="47" t="str">
        <f t="shared" ref="H8:H71" si="8">IF(V8&gt;19,"1",IF(V8&gt;16,"2","3"))</f>
        <v>1</v>
      </c>
      <c r="I8" s="27" t="str">
        <f t="shared" ref="I8:I71" si="9">IF(W8&gt;100,"1",IF(W8&gt;25,"2","3"))</f>
        <v>1</v>
      </c>
      <c r="J8" s="27" t="str">
        <f t="shared" ref="J8:J71" si="10">IF(X8&gt;1.19,"1",IF(X8&gt;0.3856,"2",IF(X8&gt;0.0976,"3","4")))</f>
        <v>1</v>
      </c>
      <c r="K8" s="27" t="str">
        <f t="shared" ref="K8:K71" si="11">IF(Y8&gt;103,"1",IF(Y8&gt;93,"2","3"))</f>
        <v>1</v>
      </c>
      <c r="L8" s="32">
        <v>1</v>
      </c>
      <c r="M8" s="32">
        <v>3</v>
      </c>
      <c r="N8" s="28" t="str">
        <f t="shared" si="3"/>
        <v>1</v>
      </c>
      <c r="O8" s="40">
        <v>2</v>
      </c>
      <c r="P8" s="42">
        <v>3719444</v>
      </c>
      <c r="Q8" s="42">
        <v>9216900</v>
      </c>
      <c r="R8" s="27">
        <v>191</v>
      </c>
      <c r="S8" s="34">
        <v>113</v>
      </c>
      <c r="T8" s="27">
        <v>85</v>
      </c>
      <c r="U8" s="47">
        <v>35.01</v>
      </c>
      <c r="V8" s="47">
        <v>27.83</v>
      </c>
      <c r="W8" s="27">
        <v>400</v>
      </c>
      <c r="X8" s="27">
        <v>4.3600000000000003</v>
      </c>
      <c r="Y8" s="27">
        <v>143</v>
      </c>
      <c r="Z8">
        <v>50002</v>
      </c>
      <c r="AA8">
        <f t="shared" si="2"/>
        <v>5.425034447590839E-3</v>
      </c>
    </row>
    <row r="9" spans="1:27" s="15" customFormat="1" x14ac:dyDescent="0.25">
      <c r="A9" s="10" t="s">
        <v>18</v>
      </c>
      <c r="B9" s="13">
        <v>1</v>
      </c>
      <c r="C9" t="str">
        <f t="shared" si="4"/>
        <v>2</v>
      </c>
      <c r="D9" s="34" t="str">
        <f t="shared" si="5"/>
        <v>1</v>
      </c>
      <c r="E9" s="27" t="str">
        <f t="shared" si="6"/>
        <v>1</v>
      </c>
      <c r="F9" t="str">
        <f t="shared" si="1"/>
        <v>1</v>
      </c>
      <c r="G9" s="47" t="str">
        <f t="shared" si="7"/>
        <v>1</v>
      </c>
      <c r="H9" s="47" t="str">
        <f t="shared" si="8"/>
        <v>3</v>
      </c>
      <c r="I9" s="27" t="str">
        <f t="shared" si="9"/>
        <v>1</v>
      </c>
      <c r="J9" s="27" t="str">
        <f t="shared" si="10"/>
        <v>1</v>
      </c>
      <c r="K9" s="27" t="str">
        <f t="shared" si="11"/>
        <v>1</v>
      </c>
      <c r="L9" s="32">
        <v>1</v>
      </c>
      <c r="M9" s="32">
        <v>3</v>
      </c>
      <c r="N9" s="28" t="str">
        <f t="shared" si="3"/>
        <v>1</v>
      </c>
      <c r="O9" s="38">
        <v>2</v>
      </c>
      <c r="P9" s="42">
        <v>939436</v>
      </c>
      <c r="Q9" s="42">
        <v>5700000</v>
      </c>
      <c r="R9" s="10">
        <v>176</v>
      </c>
      <c r="S9" s="14">
        <v>91</v>
      </c>
      <c r="T9" s="15">
        <v>91</v>
      </c>
      <c r="U9" s="45">
        <v>37.61</v>
      </c>
      <c r="V9" s="45">
        <v>12.3</v>
      </c>
      <c r="W9" s="10">
        <v>8357</v>
      </c>
      <c r="X9" s="10">
        <v>5.98</v>
      </c>
      <c r="Y9" s="15">
        <v>145</v>
      </c>
      <c r="Z9">
        <v>298448</v>
      </c>
      <c r="AA9">
        <f t="shared" si="2"/>
        <v>5.2359298245614035E-2</v>
      </c>
    </row>
    <row r="10" spans="1:27" s="15" customFormat="1" ht="18.600000000000001" customHeight="1" x14ac:dyDescent="0.25">
      <c r="A10" s="10" t="s">
        <v>19</v>
      </c>
      <c r="B10" s="13">
        <v>1</v>
      </c>
      <c r="C10" t="str">
        <f t="shared" si="4"/>
        <v>2</v>
      </c>
      <c r="D10" s="34" t="str">
        <f t="shared" si="5"/>
        <v>1</v>
      </c>
      <c r="E10" s="27" t="str">
        <f t="shared" si="6"/>
        <v>1</v>
      </c>
      <c r="F10" t="str">
        <f t="shared" si="1"/>
        <v>4</v>
      </c>
      <c r="G10" s="47" t="str">
        <f t="shared" si="7"/>
        <v>1</v>
      </c>
      <c r="H10" s="47" t="str">
        <f t="shared" si="8"/>
        <v>3</v>
      </c>
      <c r="I10" s="27" t="str">
        <f t="shared" si="9"/>
        <v>1</v>
      </c>
      <c r="J10" s="27" t="str">
        <f t="shared" si="10"/>
        <v>1</v>
      </c>
      <c r="K10" s="27" t="str">
        <f t="shared" si="11"/>
        <v>1</v>
      </c>
      <c r="L10" s="32">
        <v>1</v>
      </c>
      <c r="M10" s="32">
        <v>1</v>
      </c>
      <c r="N10" s="28" t="str">
        <f t="shared" si="3"/>
        <v>3</v>
      </c>
      <c r="O10" s="38">
        <v>1</v>
      </c>
      <c r="P10" s="42">
        <v>5780728</v>
      </c>
      <c r="Q10" s="42">
        <v>126000000</v>
      </c>
      <c r="R10" s="10">
        <v>184</v>
      </c>
      <c r="S10" s="14">
        <v>91</v>
      </c>
      <c r="T10" s="15">
        <v>94</v>
      </c>
      <c r="U10" s="45">
        <v>30.59</v>
      </c>
      <c r="V10" s="45">
        <v>12.45</v>
      </c>
      <c r="W10" s="10">
        <v>347</v>
      </c>
      <c r="X10" s="10">
        <v>4</v>
      </c>
      <c r="Y10" s="15">
        <v>142</v>
      </c>
      <c r="Z10">
        <v>250000</v>
      </c>
      <c r="AA10">
        <f t="shared" si="2"/>
        <v>1.984126984126984E-3</v>
      </c>
    </row>
    <row r="11" spans="1:27" s="15" customFormat="1" x14ac:dyDescent="0.25">
      <c r="A11" s="16" t="s">
        <v>20</v>
      </c>
      <c r="B11" s="17">
        <v>1</v>
      </c>
      <c r="C11" t="str">
        <f t="shared" si="4"/>
        <v>1</v>
      </c>
      <c r="D11" s="34" t="str">
        <f t="shared" si="5"/>
        <v>1</v>
      </c>
      <c r="E11" s="27" t="str">
        <f t="shared" si="6"/>
        <v>1</v>
      </c>
      <c r="F11" t="str">
        <f t="shared" si="1"/>
        <v>3</v>
      </c>
      <c r="G11" s="47" t="str">
        <f t="shared" si="7"/>
        <v>3</v>
      </c>
      <c r="H11" s="47" t="str">
        <f t="shared" si="8"/>
        <v>3</v>
      </c>
      <c r="I11" s="27" t="str">
        <f t="shared" si="9"/>
        <v>1</v>
      </c>
      <c r="J11" s="27" t="str">
        <f t="shared" si="10"/>
        <v>1</v>
      </c>
      <c r="K11" s="27" t="str">
        <f t="shared" si="11"/>
        <v>1</v>
      </c>
      <c r="L11" s="32">
        <v>1</v>
      </c>
      <c r="M11" s="32">
        <v>1</v>
      </c>
      <c r="N11" s="28" t="str">
        <f t="shared" si="3"/>
        <v>1</v>
      </c>
      <c r="O11" s="39">
        <v>1</v>
      </c>
      <c r="P11" s="42">
        <v>3153927</v>
      </c>
      <c r="Q11" s="42">
        <v>8917200</v>
      </c>
      <c r="R11" s="15">
        <v>188</v>
      </c>
      <c r="S11" s="14">
        <v>110</v>
      </c>
      <c r="T11" s="15">
        <v>94</v>
      </c>
      <c r="U11" s="45">
        <v>15.36</v>
      </c>
      <c r="V11" s="45">
        <v>14.41</v>
      </c>
      <c r="W11" s="10">
        <v>109</v>
      </c>
      <c r="X11" s="10">
        <v>4.8099999999999996</v>
      </c>
      <c r="Y11" s="15">
        <v>122</v>
      </c>
      <c r="Z11">
        <v>99999</v>
      </c>
      <c r="AA11">
        <f t="shared" si="2"/>
        <v>1.1214170367379895E-2</v>
      </c>
    </row>
    <row r="12" spans="1:27" s="9" customFormat="1" x14ac:dyDescent="0.25">
      <c r="A12" s="11" t="s">
        <v>5</v>
      </c>
      <c r="B12" s="21">
        <v>2</v>
      </c>
      <c r="C12" t="str">
        <f t="shared" si="4"/>
        <v>3</v>
      </c>
      <c r="D12" s="34" t="str">
        <f t="shared" si="5"/>
        <v>3</v>
      </c>
      <c r="E12" s="27" t="str">
        <f t="shared" si="6"/>
        <v>2</v>
      </c>
      <c r="F12" t="str">
        <f t="shared" si="1"/>
        <v>5</v>
      </c>
      <c r="G12" s="47" t="str">
        <f t="shared" si="7"/>
        <v>3</v>
      </c>
      <c r="H12" s="47">
        <v>2</v>
      </c>
      <c r="I12" s="27" t="str">
        <f t="shared" si="9"/>
        <v>1</v>
      </c>
      <c r="J12" s="27" t="str">
        <f t="shared" si="10"/>
        <v>2</v>
      </c>
      <c r="K12" s="27" t="str">
        <f t="shared" si="11"/>
        <v>3</v>
      </c>
      <c r="L12" s="32">
        <v>1</v>
      </c>
      <c r="M12" s="32">
        <v>1</v>
      </c>
      <c r="N12" s="28" t="str">
        <f t="shared" si="3"/>
        <v>3</v>
      </c>
      <c r="O12" s="38">
        <v>2</v>
      </c>
      <c r="P12" s="42">
        <v>397659</v>
      </c>
      <c r="Q12" s="42">
        <v>1413000000</v>
      </c>
      <c r="R12" s="11">
        <v>1</v>
      </c>
      <c r="S12" s="22">
        <v>1</v>
      </c>
      <c r="T12" s="23">
        <v>78</v>
      </c>
      <c r="U12" s="46">
        <v>3</v>
      </c>
      <c r="V12" s="46">
        <v>2</v>
      </c>
      <c r="W12" s="11">
        <v>148</v>
      </c>
      <c r="X12" s="11">
        <v>1.1399999999999999</v>
      </c>
      <c r="Y12" s="23">
        <v>1</v>
      </c>
      <c r="Z12">
        <v>-1741996</v>
      </c>
      <c r="AA12">
        <f t="shared" si="2"/>
        <v>-1.2328351026185422E-3</v>
      </c>
    </row>
    <row r="13" spans="1:27" x14ac:dyDescent="0.25">
      <c r="A13" s="27" t="s">
        <v>21</v>
      </c>
      <c r="B13" s="32">
        <v>1</v>
      </c>
      <c r="C13" t="str">
        <f t="shared" si="4"/>
        <v>1</v>
      </c>
      <c r="D13" s="34" t="str">
        <f t="shared" si="5"/>
        <v>1</v>
      </c>
      <c r="E13" s="27" t="str">
        <f t="shared" si="6"/>
        <v>1</v>
      </c>
      <c r="F13" t="str">
        <f t="shared" si="1"/>
        <v>2</v>
      </c>
      <c r="G13" s="47" t="str">
        <f t="shared" si="7"/>
        <v>1</v>
      </c>
      <c r="H13" s="47" t="str">
        <f t="shared" si="8"/>
        <v>1</v>
      </c>
      <c r="I13" s="27" t="str">
        <f t="shared" si="9"/>
        <v>3</v>
      </c>
      <c r="J13" s="27" t="str">
        <f t="shared" si="10"/>
        <v>1</v>
      </c>
      <c r="K13" s="27" t="str">
        <f t="shared" si="11"/>
        <v>1</v>
      </c>
      <c r="L13" s="32">
        <v>1</v>
      </c>
      <c r="M13" s="32">
        <v>2</v>
      </c>
      <c r="N13" s="28" t="str">
        <f t="shared" si="3"/>
        <v>2</v>
      </c>
      <c r="O13" s="40">
        <v>2</v>
      </c>
      <c r="P13" s="42">
        <v>3596466</v>
      </c>
      <c r="Q13" s="42">
        <v>25700000</v>
      </c>
      <c r="R13" s="27">
        <v>181</v>
      </c>
      <c r="S13" s="34">
        <v>118</v>
      </c>
      <c r="T13" s="27">
        <v>96</v>
      </c>
      <c r="U13" s="47">
        <v>34.299999999999997</v>
      </c>
      <c r="V13" s="47">
        <v>19.29</v>
      </c>
      <c r="W13" s="27">
        <v>3.3</v>
      </c>
      <c r="X13" s="27">
        <v>5.18</v>
      </c>
      <c r="Y13" s="27">
        <v>116</v>
      </c>
      <c r="Z13">
        <v>791229</v>
      </c>
      <c r="AA13">
        <f t="shared" si="2"/>
        <v>3.0787120622568092E-2</v>
      </c>
    </row>
    <row r="14" spans="1:27" x14ac:dyDescent="0.25">
      <c r="A14" s="27" t="s">
        <v>22</v>
      </c>
      <c r="B14" s="32">
        <v>1</v>
      </c>
      <c r="C14" t="str">
        <f t="shared" si="4"/>
        <v>1</v>
      </c>
      <c r="D14" s="34" t="str">
        <f t="shared" si="5"/>
        <v>1</v>
      </c>
      <c r="E14" s="27" t="str">
        <f t="shared" si="6"/>
        <v>1</v>
      </c>
      <c r="F14" t="str">
        <f t="shared" si="1"/>
        <v>3</v>
      </c>
      <c r="G14" s="47" t="str">
        <f t="shared" si="7"/>
        <v>1</v>
      </c>
      <c r="H14" s="47" t="str">
        <f t="shared" si="8"/>
        <v>1</v>
      </c>
      <c r="I14" s="27" t="str">
        <f t="shared" si="9"/>
        <v>3</v>
      </c>
      <c r="J14" s="27" t="str">
        <f t="shared" si="10"/>
        <v>1</v>
      </c>
      <c r="K14" s="27" t="str">
        <f t="shared" si="11"/>
        <v>1</v>
      </c>
      <c r="L14" s="32">
        <v>2</v>
      </c>
      <c r="M14" s="32">
        <v>1</v>
      </c>
      <c r="N14" s="28" t="str">
        <f t="shared" si="3"/>
        <v>2</v>
      </c>
      <c r="O14" s="40">
        <v>2</v>
      </c>
      <c r="P14" s="42">
        <v>362109</v>
      </c>
      <c r="Q14" s="42">
        <v>5084300</v>
      </c>
      <c r="R14" s="27">
        <v>158</v>
      </c>
      <c r="S14" s="34">
        <v>108</v>
      </c>
      <c r="T14" s="27">
        <v>92</v>
      </c>
      <c r="U14" s="47">
        <v>32.82</v>
      </c>
      <c r="V14" s="47">
        <v>19.43</v>
      </c>
      <c r="W14" s="27">
        <v>18.3</v>
      </c>
      <c r="X14" s="27">
        <v>4.18</v>
      </c>
      <c r="Y14" s="27">
        <v>128</v>
      </c>
      <c r="Z14">
        <v>74403</v>
      </c>
      <c r="AA14">
        <f t="shared" si="2"/>
        <v>1.4633872902857817E-2</v>
      </c>
    </row>
    <row r="15" spans="1:27" x14ac:dyDescent="0.25">
      <c r="A15" s="27" t="s">
        <v>23</v>
      </c>
      <c r="B15" s="32">
        <v>1</v>
      </c>
      <c r="C15" t="str">
        <f t="shared" si="4"/>
        <v>1</v>
      </c>
      <c r="D15" s="34" t="str">
        <f t="shared" si="5"/>
        <v>1</v>
      </c>
      <c r="E15" s="27" t="str">
        <f t="shared" si="6"/>
        <v>1</v>
      </c>
      <c r="F15" t="str">
        <f t="shared" si="1"/>
        <v>4</v>
      </c>
      <c r="G15" s="47" t="str">
        <f t="shared" si="7"/>
        <v>3</v>
      </c>
      <c r="H15" s="47" t="str">
        <f t="shared" si="8"/>
        <v>3</v>
      </c>
      <c r="I15" s="27" t="str">
        <f t="shared" si="9"/>
        <v>1</v>
      </c>
      <c r="J15" s="27" t="str">
        <f t="shared" si="10"/>
        <v>1</v>
      </c>
      <c r="K15" s="27" t="str">
        <f t="shared" si="11"/>
        <v>1</v>
      </c>
      <c r="L15" s="32">
        <v>1</v>
      </c>
      <c r="M15" s="32">
        <v>2</v>
      </c>
      <c r="N15" s="28" t="str">
        <f t="shared" si="3"/>
        <v>2</v>
      </c>
      <c r="O15" s="40">
        <v>2</v>
      </c>
      <c r="P15" s="42">
        <v>6556453</v>
      </c>
      <c r="Q15" s="42">
        <v>52000000</v>
      </c>
      <c r="R15" s="27">
        <v>176</v>
      </c>
      <c r="S15" s="34">
        <v>111</v>
      </c>
      <c r="T15" s="27">
        <v>90</v>
      </c>
      <c r="U15" s="47">
        <v>19.62</v>
      </c>
      <c r="V15" s="47">
        <v>12.54</v>
      </c>
      <c r="W15" s="27">
        <v>527.29999999999995</v>
      </c>
      <c r="X15" s="27">
        <v>3.15</v>
      </c>
      <c r="Y15" s="27">
        <v>133</v>
      </c>
      <c r="Z15">
        <v>200000</v>
      </c>
      <c r="AA15">
        <f t="shared" si="2"/>
        <v>3.8461538461538464E-3</v>
      </c>
    </row>
    <row r="16" spans="1:27" x14ac:dyDescent="0.25">
      <c r="A16" s="27" t="s">
        <v>24</v>
      </c>
      <c r="B16" s="32">
        <v>2</v>
      </c>
      <c r="C16" t="str">
        <f t="shared" si="4"/>
        <v>1</v>
      </c>
      <c r="D16" s="34" t="str">
        <f t="shared" si="5"/>
        <v>2</v>
      </c>
      <c r="E16" s="27" t="str">
        <f t="shared" si="6"/>
        <v>2</v>
      </c>
      <c r="F16" t="str">
        <f t="shared" si="1"/>
        <v>2</v>
      </c>
      <c r="G16" s="47" t="str">
        <f t="shared" si="7"/>
        <v>3</v>
      </c>
      <c r="H16" s="47" t="str">
        <f t="shared" si="8"/>
        <v>3</v>
      </c>
      <c r="I16" s="27" t="str">
        <f t="shared" si="9"/>
        <v>1</v>
      </c>
      <c r="J16" s="27" t="str">
        <f t="shared" si="10"/>
        <v>1</v>
      </c>
      <c r="K16" s="27" t="str">
        <f t="shared" si="11"/>
        <v>1</v>
      </c>
      <c r="L16" s="32">
        <v>2</v>
      </c>
      <c r="M16" s="32">
        <v>2</v>
      </c>
      <c r="N16" s="28" t="str">
        <f t="shared" si="3"/>
        <v>2</v>
      </c>
      <c r="O16" s="40">
        <v>2</v>
      </c>
      <c r="P16" s="42">
        <v>851537</v>
      </c>
      <c r="Q16" s="42">
        <v>9630959</v>
      </c>
      <c r="R16" s="27">
        <v>143</v>
      </c>
      <c r="S16" s="34">
        <v>121</v>
      </c>
      <c r="T16" s="27">
        <v>70</v>
      </c>
      <c r="U16" s="47">
        <v>19.62</v>
      </c>
      <c r="V16" s="47"/>
      <c r="W16" s="27">
        <v>118.3</v>
      </c>
      <c r="X16" s="27">
        <v>4.3099999999999996</v>
      </c>
      <c r="Y16" s="27">
        <v>143</v>
      </c>
      <c r="Z16">
        <v>301000</v>
      </c>
      <c r="AA16">
        <f t="shared" si="2"/>
        <v>3.1253377778889931E-2</v>
      </c>
    </row>
    <row r="17" spans="1:27" s="9" customFormat="1" x14ac:dyDescent="0.25">
      <c r="A17" s="11" t="s">
        <v>4</v>
      </c>
      <c r="B17" s="21">
        <v>1</v>
      </c>
      <c r="C17" t="str">
        <f t="shared" si="4"/>
        <v>3</v>
      </c>
      <c r="D17" s="34" t="str">
        <f t="shared" si="5"/>
        <v>3</v>
      </c>
      <c r="E17" s="27" t="str">
        <f t="shared" si="6"/>
        <v>1</v>
      </c>
      <c r="F17" t="str">
        <f t="shared" si="1"/>
        <v>2</v>
      </c>
      <c r="G17" s="47">
        <v>1</v>
      </c>
      <c r="H17" s="47">
        <v>2</v>
      </c>
      <c r="I17" s="27" t="str">
        <f t="shared" si="9"/>
        <v>3</v>
      </c>
      <c r="J17" s="27" t="str">
        <f t="shared" si="10"/>
        <v>1</v>
      </c>
      <c r="K17" s="27" t="str">
        <f t="shared" si="11"/>
        <v>3</v>
      </c>
      <c r="L17" s="32">
        <v>2</v>
      </c>
      <c r="M17" s="32">
        <v>3</v>
      </c>
      <c r="N17" s="28" t="str">
        <f t="shared" si="3"/>
        <v>2</v>
      </c>
      <c r="O17" s="38">
        <v>2</v>
      </c>
      <c r="P17" s="42">
        <v>3360655</v>
      </c>
      <c r="Q17" s="42">
        <v>38000000</v>
      </c>
      <c r="R17" s="11">
        <v>1</v>
      </c>
      <c r="S17" s="22">
        <v>1</v>
      </c>
      <c r="T17" s="23">
        <v>94</v>
      </c>
      <c r="U17" s="46">
        <v>1</v>
      </c>
      <c r="V17" s="46">
        <v>2</v>
      </c>
      <c r="W17" s="11">
        <v>4.2</v>
      </c>
      <c r="X17" s="11">
        <v>4.32</v>
      </c>
      <c r="Y17" s="23">
        <v>1</v>
      </c>
      <c r="Z17">
        <v>1210159</v>
      </c>
      <c r="AA17">
        <f t="shared" si="2"/>
        <v>3.184628947368421E-2</v>
      </c>
    </row>
    <row r="18" spans="1:27" x14ac:dyDescent="0.25">
      <c r="A18" s="27" t="s">
        <v>25</v>
      </c>
      <c r="B18" s="32">
        <v>1</v>
      </c>
      <c r="C18" t="str">
        <f t="shared" si="4"/>
        <v>2</v>
      </c>
      <c r="D18" s="34" t="str">
        <f t="shared" si="5"/>
        <v>1</v>
      </c>
      <c r="E18" s="27" t="str">
        <f t="shared" si="6"/>
        <v>1</v>
      </c>
      <c r="F18" t="str">
        <f t="shared" si="1"/>
        <v>3</v>
      </c>
      <c r="G18" s="47" t="str">
        <f t="shared" si="7"/>
        <v>2</v>
      </c>
      <c r="H18" s="47" t="str">
        <f t="shared" si="8"/>
        <v>2</v>
      </c>
      <c r="I18" s="27" t="str">
        <f t="shared" si="9"/>
        <v>3</v>
      </c>
      <c r="J18" s="27" t="str">
        <f t="shared" si="10"/>
        <v>1</v>
      </c>
      <c r="K18" s="27" t="str">
        <f t="shared" si="11"/>
        <v>1</v>
      </c>
      <c r="L18" s="32">
        <v>1</v>
      </c>
      <c r="M18" s="32">
        <v>3</v>
      </c>
      <c r="N18" s="28" t="str">
        <f t="shared" si="3"/>
        <v>1</v>
      </c>
      <c r="O18" s="40">
        <v>2</v>
      </c>
      <c r="P18" s="42">
        <v>1351883</v>
      </c>
      <c r="Q18" s="42">
        <v>5379500</v>
      </c>
      <c r="R18" s="27">
        <v>181</v>
      </c>
      <c r="S18" s="34">
        <v>79</v>
      </c>
      <c r="T18" s="27">
        <v>97</v>
      </c>
      <c r="U18" s="47">
        <v>26.31</v>
      </c>
      <c r="V18" s="47">
        <v>17.260000000000002</v>
      </c>
      <c r="W18" s="27">
        <v>14.8</v>
      </c>
      <c r="X18" s="27">
        <v>6.73</v>
      </c>
      <c r="Y18" s="27">
        <v>122</v>
      </c>
      <c r="Z18">
        <v>140000</v>
      </c>
      <c r="AA18">
        <f t="shared" si="2"/>
        <v>2.6024723487312947E-2</v>
      </c>
    </row>
    <row r="19" spans="1:27" x14ac:dyDescent="0.25">
      <c r="A19" s="27" t="s">
        <v>26</v>
      </c>
      <c r="B19" s="32">
        <v>1</v>
      </c>
      <c r="C19" t="str">
        <f t="shared" si="4"/>
        <v>2</v>
      </c>
      <c r="D19" s="34" t="str">
        <f t="shared" si="5"/>
        <v>1</v>
      </c>
      <c r="E19" s="27" t="str">
        <f t="shared" si="6"/>
        <v>1</v>
      </c>
      <c r="F19" t="str">
        <f t="shared" si="1"/>
        <v>3</v>
      </c>
      <c r="G19" s="47" t="str">
        <f t="shared" si="7"/>
        <v>2</v>
      </c>
      <c r="H19" s="47" t="str">
        <f t="shared" si="8"/>
        <v>2</v>
      </c>
      <c r="I19" s="27" t="str">
        <f t="shared" si="9"/>
        <v>1</v>
      </c>
      <c r="J19" s="27" t="str">
        <f t="shared" si="10"/>
        <v>1</v>
      </c>
      <c r="K19" s="27" t="str">
        <f t="shared" si="11"/>
        <v>1</v>
      </c>
      <c r="L19" s="32">
        <v>1</v>
      </c>
      <c r="M19" s="32">
        <v>3</v>
      </c>
      <c r="N19" s="28" t="str">
        <f t="shared" si="3"/>
        <v>1</v>
      </c>
      <c r="O19" s="40">
        <v>2</v>
      </c>
      <c r="P19" s="42">
        <v>2809450</v>
      </c>
      <c r="Q19" s="42">
        <v>5831400</v>
      </c>
      <c r="R19" s="27">
        <v>153</v>
      </c>
      <c r="S19" s="34">
        <v>79</v>
      </c>
      <c r="T19" s="27">
        <v>92</v>
      </c>
      <c r="U19" s="47">
        <v>24.81</v>
      </c>
      <c r="V19" s="47">
        <v>16.28</v>
      </c>
      <c r="W19" s="27">
        <v>136.5</v>
      </c>
      <c r="X19" s="27">
        <v>6.09</v>
      </c>
      <c r="Y19" s="27">
        <v>129</v>
      </c>
      <c r="Z19">
        <v>75998</v>
      </c>
      <c r="AA19">
        <f t="shared" si="2"/>
        <v>1.3032547930171142E-2</v>
      </c>
    </row>
    <row r="20" spans="1:27" x14ac:dyDescent="0.25">
      <c r="A20" s="27" t="s">
        <v>27</v>
      </c>
      <c r="B20" s="32">
        <v>1</v>
      </c>
      <c r="C20" t="str">
        <f t="shared" si="4"/>
        <v>1</v>
      </c>
      <c r="D20" s="34" t="str">
        <f t="shared" si="5"/>
        <v>1</v>
      </c>
      <c r="E20" s="27" t="str">
        <f t="shared" si="6"/>
        <v>1</v>
      </c>
      <c r="F20" t="str">
        <f t="shared" si="1"/>
        <v>1</v>
      </c>
      <c r="G20" s="47" t="str">
        <f t="shared" si="7"/>
        <v>3</v>
      </c>
      <c r="H20" s="47" t="str">
        <f t="shared" si="8"/>
        <v>1</v>
      </c>
      <c r="I20" s="27" t="str">
        <f t="shared" si="9"/>
        <v>1</v>
      </c>
      <c r="J20" s="27" t="str">
        <f t="shared" si="10"/>
        <v>1</v>
      </c>
      <c r="K20" s="27" t="str">
        <f t="shared" si="11"/>
        <v>1</v>
      </c>
      <c r="L20" s="32">
        <v>2</v>
      </c>
      <c r="M20" s="32">
        <v>2</v>
      </c>
      <c r="N20" s="28" t="str">
        <f t="shared" si="3"/>
        <v>3</v>
      </c>
      <c r="O20" s="40">
        <v>2</v>
      </c>
      <c r="P20" s="42">
        <v>6693</v>
      </c>
      <c r="Q20" s="42">
        <v>23694089</v>
      </c>
      <c r="R20" s="27">
        <v>174</v>
      </c>
      <c r="S20" s="34">
        <v>111</v>
      </c>
      <c r="T20" s="27">
        <v>85</v>
      </c>
      <c r="U20" s="47">
        <v>11.96</v>
      </c>
      <c r="V20" s="47">
        <v>24.7</v>
      </c>
      <c r="W20" s="27">
        <v>650.91999999999996</v>
      </c>
      <c r="X20" s="27">
        <v>4.84</v>
      </c>
      <c r="Y20" s="27">
        <v>126</v>
      </c>
      <c r="Z20">
        <v>1200000</v>
      </c>
      <c r="AA20">
        <f t="shared" si="2"/>
        <v>5.0645542860921981E-2</v>
      </c>
    </row>
    <row r="21" spans="1:27" x14ac:dyDescent="0.25">
      <c r="A21" s="27" t="s">
        <v>28</v>
      </c>
      <c r="B21" s="32">
        <v>2</v>
      </c>
      <c r="C21" t="str">
        <f t="shared" si="4"/>
        <v>1</v>
      </c>
      <c r="D21" s="34" t="str">
        <f t="shared" si="5"/>
        <v>2</v>
      </c>
      <c r="E21" s="27" t="str">
        <f t="shared" si="6"/>
        <v>2</v>
      </c>
      <c r="F21" t="str">
        <f t="shared" si="1"/>
        <v>3</v>
      </c>
      <c r="G21" s="47" t="str">
        <f t="shared" si="7"/>
        <v>3</v>
      </c>
      <c r="H21" s="47" t="str">
        <f t="shared" si="8"/>
        <v>3</v>
      </c>
      <c r="I21" s="27" t="str">
        <f t="shared" si="9"/>
        <v>3</v>
      </c>
      <c r="J21" s="27" t="str">
        <f t="shared" si="10"/>
        <v>1</v>
      </c>
      <c r="K21" s="27" t="str">
        <f t="shared" si="11"/>
        <v>1</v>
      </c>
      <c r="L21" s="32">
        <v>3</v>
      </c>
      <c r="M21" s="32">
        <v>3</v>
      </c>
      <c r="N21" s="28" t="str">
        <f t="shared" si="3"/>
        <v>3</v>
      </c>
      <c r="O21" s="40">
        <v>2</v>
      </c>
      <c r="P21" s="42">
        <v>748769</v>
      </c>
      <c r="Q21" s="42">
        <v>35000000</v>
      </c>
      <c r="R21" s="27">
        <v>143</v>
      </c>
      <c r="S21" s="34">
        <v>111</v>
      </c>
      <c r="T21" s="27">
        <v>77</v>
      </c>
      <c r="U21" s="47">
        <v>17.18</v>
      </c>
      <c r="V21" s="47">
        <v>14.41</v>
      </c>
      <c r="W21" s="27">
        <v>16.2</v>
      </c>
      <c r="X21" s="27">
        <v>2</v>
      </c>
      <c r="Y21" s="27">
        <v>121</v>
      </c>
      <c r="Z21">
        <v>674895</v>
      </c>
      <c r="AA21">
        <f t="shared" si="2"/>
        <v>1.9282714285714285E-2</v>
      </c>
    </row>
    <row r="22" spans="1:27" x14ac:dyDescent="0.25">
      <c r="A22" s="27" t="s">
        <v>29</v>
      </c>
      <c r="B22" s="32">
        <v>1</v>
      </c>
      <c r="C22" t="str">
        <f t="shared" si="4"/>
        <v>1</v>
      </c>
      <c r="D22" s="34" t="str">
        <f t="shared" si="5"/>
        <v>1</v>
      </c>
      <c r="E22" s="27" t="str">
        <f t="shared" si="6"/>
        <v>1</v>
      </c>
      <c r="F22" t="str">
        <f t="shared" si="1"/>
        <v>4</v>
      </c>
      <c r="G22" s="47" t="str">
        <f t="shared" si="7"/>
        <v>2</v>
      </c>
      <c r="H22" s="47" t="str">
        <f t="shared" si="8"/>
        <v>3</v>
      </c>
      <c r="I22" s="27" t="str">
        <f t="shared" si="9"/>
        <v>1</v>
      </c>
      <c r="J22" s="27" t="str">
        <f t="shared" si="10"/>
        <v>1</v>
      </c>
      <c r="K22" s="27" t="str">
        <f t="shared" si="11"/>
        <v>1</v>
      </c>
      <c r="L22" s="32">
        <v>2</v>
      </c>
      <c r="M22" s="32">
        <v>3</v>
      </c>
      <c r="N22" s="28" t="str">
        <f t="shared" si="3"/>
        <v>1</v>
      </c>
      <c r="O22" s="40">
        <v>2</v>
      </c>
      <c r="P22" s="43">
        <v>1814362</v>
      </c>
      <c r="Q22" s="43">
        <v>9749800</v>
      </c>
      <c r="R22" s="27">
        <v>146</v>
      </c>
      <c r="S22" s="34">
        <v>120</v>
      </c>
      <c r="T22" s="27">
        <v>82</v>
      </c>
      <c r="U22" s="47">
        <v>25.79</v>
      </c>
      <c r="V22" s="47">
        <v>15.7</v>
      </c>
      <c r="W22" s="27">
        <v>106.7</v>
      </c>
      <c r="X22" s="27">
        <v>1.59</v>
      </c>
      <c r="Y22" s="27">
        <v>122</v>
      </c>
      <c r="Z22">
        <v>29999</v>
      </c>
      <c r="AA22">
        <f t="shared" si="2"/>
        <v>3.0768836283821205E-3</v>
      </c>
    </row>
    <row r="23" spans="1:27" x14ac:dyDescent="0.25">
      <c r="A23" s="27" t="s">
        <v>98</v>
      </c>
      <c r="B23" s="32">
        <v>1</v>
      </c>
      <c r="C23" t="str">
        <f t="shared" si="4"/>
        <v>2</v>
      </c>
      <c r="D23" s="34" t="str">
        <f t="shared" si="5"/>
        <v>1</v>
      </c>
      <c r="E23" s="27" t="str">
        <f t="shared" si="6"/>
        <v>1</v>
      </c>
      <c r="F23" t="str">
        <f t="shared" si="1"/>
        <v>4</v>
      </c>
      <c r="G23" s="47" t="str">
        <f t="shared" si="7"/>
        <v>3</v>
      </c>
      <c r="H23" s="47" t="str">
        <f t="shared" si="8"/>
        <v>1</v>
      </c>
      <c r="I23" s="27" t="str">
        <f t="shared" si="9"/>
        <v>1</v>
      </c>
      <c r="J23" s="27" t="str">
        <f t="shared" si="10"/>
        <v>1</v>
      </c>
      <c r="K23" s="27" t="str">
        <f t="shared" si="11"/>
        <v>1</v>
      </c>
      <c r="L23" s="32">
        <v>1</v>
      </c>
      <c r="M23" s="32">
        <v>3</v>
      </c>
      <c r="N23" s="28" t="str">
        <f t="shared" si="3"/>
        <v>1</v>
      </c>
      <c r="O23" s="40">
        <v>1</v>
      </c>
      <c r="P23" s="43">
        <v>7168183</v>
      </c>
      <c r="Q23" s="43">
        <v>17000000</v>
      </c>
      <c r="R23" s="27">
        <v>158</v>
      </c>
      <c r="S23" s="34">
        <v>74</v>
      </c>
      <c r="T23" s="27">
        <v>96</v>
      </c>
      <c r="U23" s="47">
        <v>5.74</v>
      </c>
      <c r="V23" s="47">
        <v>23.19</v>
      </c>
      <c r="W23" s="27">
        <v>508.2</v>
      </c>
      <c r="X23" s="27">
        <v>5.23</v>
      </c>
      <c r="Y23" s="27">
        <v>127</v>
      </c>
      <c r="Z23">
        <v>80000</v>
      </c>
      <c r="AA23">
        <f t="shared" si="2"/>
        <v>4.7058823529411761E-3</v>
      </c>
    </row>
    <row r="24" spans="1:27" x14ac:dyDescent="0.25">
      <c r="A24" s="27" t="s">
        <v>30</v>
      </c>
      <c r="B24" s="32">
        <v>2</v>
      </c>
      <c r="C24" t="str">
        <f t="shared" si="4"/>
        <v>1</v>
      </c>
      <c r="D24" s="34" t="str">
        <f t="shared" si="5"/>
        <v>1</v>
      </c>
      <c r="E24" s="27" t="str">
        <f t="shared" si="6"/>
        <v>2</v>
      </c>
      <c r="F24" t="str">
        <f t="shared" si="1"/>
        <v>5</v>
      </c>
      <c r="G24" s="47" t="str">
        <f t="shared" si="7"/>
        <v>3</v>
      </c>
      <c r="H24" s="47" t="str">
        <f t="shared" si="8"/>
        <v>1</v>
      </c>
      <c r="I24" s="27" t="str">
        <f t="shared" si="9"/>
        <v>1</v>
      </c>
      <c r="J24" s="27" t="str">
        <f t="shared" si="10"/>
        <v>3</v>
      </c>
      <c r="K24" s="27" t="str">
        <f t="shared" si="11"/>
        <v>1</v>
      </c>
      <c r="L24" s="32">
        <v>3</v>
      </c>
      <c r="M24" s="32">
        <v>2</v>
      </c>
      <c r="N24" s="28" t="str">
        <f t="shared" si="3"/>
        <v>3</v>
      </c>
      <c r="O24" s="40">
        <v>1</v>
      </c>
      <c r="P24" s="42">
        <v>6112648</v>
      </c>
      <c r="Q24" s="42">
        <v>97000000</v>
      </c>
      <c r="R24" s="27">
        <v>149</v>
      </c>
      <c r="S24" s="34">
        <v>101</v>
      </c>
      <c r="T24" s="27">
        <v>60</v>
      </c>
      <c r="U24" s="47">
        <v>7.12</v>
      </c>
      <c r="V24" s="47">
        <v>21.46</v>
      </c>
      <c r="W24" s="27">
        <v>313.89999999999998</v>
      </c>
      <c r="X24" s="27">
        <v>0.28000000000000003</v>
      </c>
      <c r="Y24" s="27">
        <v>124</v>
      </c>
      <c r="Z24">
        <v>-200000</v>
      </c>
      <c r="AA24">
        <f t="shared" si="2"/>
        <v>-2.0618556701030928E-3</v>
      </c>
    </row>
    <row r="25" spans="1:27" x14ac:dyDescent="0.25">
      <c r="A25" s="27" t="s">
        <v>31</v>
      </c>
      <c r="B25" s="32">
        <v>2</v>
      </c>
      <c r="C25" t="str">
        <f t="shared" si="4"/>
        <v>1</v>
      </c>
      <c r="D25" s="34" t="str">
        <f t="shared" si="5"/>
        <v>2</v>
      </c>
      <c r="E25" s="27" t="str">
        <f t="shared" si="6"/>
        <v>1</v>
      </c>
      <c r="F25" t="str">
        <f t="shared" si="1"/>
        <v>3</v>
      </c>
      <c r="G25" s="47" t="str">
        <f t="shared" si="7"/>
        <v>1</v>
      </c>
      <c r="H25" s="47" t="str">
        <f t="shared" si="8"/>
        <v>1</v>
      </c>
      <c r="I25" s="27" t="str">
        <f t="shared" si="9"/>
        <v>1</v>
      </c>
      <c r="J25" s="27" t="str">
        <f t="shared" si="10"/>
        <v>1</v>
      </c>
      <c r="K25" s="27" t="str">
        <f t="shared" si="11"/>
        <v>1</v>
      </c>
      <c r="L25" s="32">
        <v>2</v>
      </c>
      <c r="M25" s="32">
        <v>2</v>
      </c>
      <c r="N25" s="28" t="str">
        <f t="shared" si="3"/>
        <v>1</v>
      </c>
      <c r="O25" s="40">
        <v>2</v>
      </c>
      <c r="P25" s="42">
        <v>625461</v>
      </c>
      <c r="Q25" s="42">
        <v>4270600</v>
      </c>
      <c r="R25" s="27">
        <v>135</v>
      </c>
      <c r="S25" s="34">
        <v>110</v>
      </c>
      <c r="T25" s="27">
        <v>81</v>
      </c>
      <c r="U25" s="47">
        <v>30.33</v>
      </c>
      <c r="V25" s="47">
        <v>19.420000000000002</v>
      </c>
      <c r="W25" s="27">
        <v>239.7</v>
      </c>
      <c r="X25" s="27">
        <v>3.2</v>
      </c>
      <c r="Y25" s="27">
        <v>112</v>
      </c>
      <c r="Z25">
        <v>100000</v>
      </c>
      <c r="AA25">
        <f t="shared" si="2"/>
        <v>2.341591345478387E-2</v>
      </c>
    </row>
    <row r="26" spans="1:27" x14ac:dyDescent="0.25">
      <c r="A26" s="27" t="s">
        <v>32</v>
      </c>
      <c r="B26" s="32">
        <v>1</v>
      </c>
      <c r="C26" t="str">
        <f t="shared" si="4"/>
        <v>2</v>
      </c>
      <c r="D26" s="34" t="str">
        <f t="shared" si="5"/>
        <v>2</v>
      </c>
      <c r="E26" s="27" t="str">
        <f t="shared" si="6"/>
        <v>1</v>
      </c>
      <c r="F26" t="str">
        <f t="shared" si="1"/>
        <v>4</v>
      </c>
      <c r="G26" s="47" t="str">
        <f t="shared" si="7"/>
        <v>3</v>
      </c>
      <c r="H26" s="47" t="str">
        <f t="shared" si="8"/>
        <v>2</v>
      </c>
      <c r="I26" s="27" t="str">
        <f t="shared" si="9"/>
        <v>3</v>
      </c>
      <c r="J26" s="27" t="str">
        <f t="shared" si="10"/>
        <v>1</v>
      </c>
      <c r="K26" s="27" t="str">
        <f t="shared" si="11"/>
        <v>1</v>
      </c>
      <c r="L26" s="32">
        <v>1</v>
      </c>
      <c r="M26" s="32">
        <v>3</v>
      </c>
      <c r="N26" s="28" t="str">
        <f t="shared" si="3"/>
        <v>1</v>
      </c>
      <c r="O26" s="40">
        <v>1</v>
      </c>
      <c r="P26" s="42">
        <v>158533</v>
      </c>
      <c r="Q26" s="42">
        <v>366400</v>
      </c>
      <c r="R26" s="27">
        <v>140</v>
      </c>
      <c r="S26" s="34">
        <v>66</v>
      </c>
      <c r="T26" s="27">
        <v>97</v>
      </c>
      <c r="U26" s="47">
        <v>8.3000000000000007</v>
      </c>
      <c r="V26" s="47">
        <v>18.28</v>
      </c>
      <c r="W26" s="27">
        <v>3.4</v>
      </c>
      <c r="X26" s="27">
        <v>5.93</v>
      </c>
      <c r="Y26" s="27">
        <v>104</v>
      </c>
      <c r="Z26">
        <v>1900</v>
      </c>
      <c r="AA26">
        <f t="shared" si="2"/>
        <v>5.185589519650655E-3</v>
      </c>
    </row>
    <row r="27" spans="1:27" x14ac:dyDescent="0.25">
      <c r="A27" s="27" t="s">
        <v>33</v>
      </c>
      <c r="B27" s="32">
        <v>2</v>
      </c>
      <c r="C27" t="str">
        <f t="shared" si="4"/>
        <v>1</v>
      </c>
      <c r="D27" s="34" t="str">
        <f t="shared" si="5"/>
        <v>2</v>
      </c>
      <c r="E27" s="27" t="str">
        <f t="shared" si="6"/>
        <v>2</v>
      </c>
      <c r="F27" t="str">
        <f t="shared" si="1"/>
        <v>1</v>
      </c>
      <c r="G27" s="47" t="str">
        <f t="shared" si="7"/>
        <v>1</v>
      </c>
      <c r="H27" s="47" t="str">
        <f t="shared" si="8"/>
        <v>3</v>
      </c>
      <c r="I27" s="27" t="str">
        <f t="shared" si="9"/>
        <v>1</v>
      </c>
      <c r="J27" s="27" t="str">
        <f t="shared" si="10"/>
        <v>1</v>
      </c>
      <c r="K27" s="27" t="str">
        <f t="shared" si="11"/>
        <v>3</v>
      </c>
      <c r="L27" s="32">
        <v>2</v>
      </c>
      <c r="M27" s="32">
        <v>2</v>
      </c>
      <c r="N27" s="28" t="str">
        <f t="shared" si="3"/>
        <v>1</v>
      </c>
      <c r="O27" s="40">
        <v>2</v>
      </c>
      <c r="P27" s="42">
        <v>537395</v>
      </c>
      <c r="Q27" s="42">
        <v>1701600</v>
      </c>
      <c r="R27" s="27">
        <v>127</v>
      </c>
      <c r="S27" s="34">
        <v>102</v>
      </c>
      <c r="T27" s="27">
        <v>72</v>
      </c>
      <c r="U27" s="47">
        <v>27.31</v>
      </c>
      <c r="V27" s="47">
        <v>15.87</v>
      </c>
      <c r="W27" s="27">
        <v>2238.9</v>
      </c>
      <c r="X27" s="27">
        <v>2.35</v>
      </c>
      <c r="Y27" s="27">
        <v>92</v>
      </c>
      <c r="Z27">
        <v>239000</v>
      </c>
      <c r="AA27">
        <f t="shared" si="2"/>
        <v>0.14045604137282558</v>
      </c>
    </row>
    <row r="28" spans="1:27" x14ac:dyDescent="0.25">
      <c r="A28" s="27" t="s">
        <v>34</v>
      </c>
      <c r="B28" s="32">
        <v>1</v>
      </c>
      <c r="C28" t="str">
        <f t="shared" si="4"/>
        <v>2</v>
      </c>
      <c r="D28" s="34" t="str">
        <f t="shared" si="5"/>
        <v>2</v>
      </c>
      <c r="E28" s="27" t="str">
        <f t="shared" si="6"/>
        <v>1</v>
      </c>
      <c r="F28" t="str">
        <f t="shared" si="1"/>
        <v>3</v>
      </c>
      <c r="G28" s="47" t="str">
        <f t="shared" si="7"/>
        <v>1</v>
      </c>
      <c r="H28" s="47" t="str">
        <f t="shared" si="8"/>
        <v>3</v>
      </c>
      <c r="I28" s="27" t="str">
        <f t="shared" si="9"/>
        <v>3</v>
      </c>
      <c r="J28" s="27" t="str">
        <f t="shared" si="10"/>
        <v>1</v>
      </c>
      <c r="K28" s="27" t="str">
        <f t="shared" si="11"/>
        <v>3</v>
      </c>
      <c r="L28" s="32">
        <v>1</v>
      </c>
      <c r="M28" s="32">
        <v>3</v>
      </c>
      <c r="N28" s="28" t="str">
        <f t="shared" si="3"/>
        <v>2</v>
      </c>
      <c r="O28" s="40">
        <v>2</v>
      </c>
      <c r="P28" s="42">
        <v>734262</v>
      </c>
      <c r="Q28" s="42">
        <v>5530700</v>
      </c>
      <c r="R28" s="27">
        <v>140</v>
      </c>
      <c r="S28" s="34">
        <v>68</v>
      </c>
      <c r="T28" s="27">
        <v>96</v>
      </c>
      <c r="U28" s="47">
        <v>28.19</v>
      </c>
      <c r="V28" s="47">
        <v>15.56</v>
      </c>
      <c r="W28" s="27">
        <v>18</v>
      </c>
      <c r="X28" s="27">
        <v>4.9000000000000004</v>
      </c>
      <c r="Y28" s="27">
        <v>93</v>
      </c>
      <c r="Z28">
        <v>70000</v>
      </c>
      <c r="AA28">
        <f t="shared" si="2"/>
        <v>1.2656625743576762E-2</v>
      </c>
    </row>
    <row r="29" spans="1:27" x14ac:dyDescent="0.25">
      <c r="A29" s="27" t="s">
        <v>35</v>
      </c>
      <c r="B29" s="32">
        <v>1</v>
      </c>
      <c r="C29" t="str">
        <f t="shared" si="4"/>
        <v>2</v>
      </c>
      <c r="D29" s="34" t="str">
        <f t="shared" si="5"/>
        <v>2</v>
      </c>
      <c r="E29" s="27" t="str">
        <f t="shared" si="6"/>
        <v>1</v>
      </c>
      <c r="F29" t="str">
        <f t="shared" si="1"/>
        <v>2</v>
      </c>
      <c r="G29" s="47" t="str">
        <f t="shared" si="7"/>
        <v>3</v>
      </c>
      <c r="H29" s="47" t="str">
        <f t="shared" si="8"/>
        <v>3</v>
      </c>
      <c r="I29" s="27" t="str">
        <f t="shared" si="9"/>
        <v>1</v>
      </c>
      <c r="J29" s="27" t="str">
        <f t="shared" si="10"/>
        <v>1</v>
      </c>
      <c r="K29" s="27" t="str">
        <f t="shared" si="11"/>
        <v>2</v>
      </c>
      <c r="L29" s="32">
        <v>1</v>
      </c>
      <c r="M29" s="32">
        <v>1</v>
      </c>
      <c r="N29" s="28" t="str">
        <f t="shared" si="3"/>
        <v>1</v>
      </c>
      <c r="O29" s="40">
        <v>1</v>
      </c>
      <c r="P29" s="42">
        <v>191964</v>
      </c>
      <c r="Q29" s="42">
        <v>632300</v>
      </c>
      <c r="R29" s="27">
        <v>134</v>
      </c>
      <c r="S29" s="34">
        <v>67</v>
      </c>
      <c r="T29" s="27">
        <v>96</v>
      </c>
      <c r="U29" s="47">
        <v>16.440000000000001</v>
      </c>
      <c r="V29" s="47">
        <v>13.64</v>
      </c>
      <c r="W29" s="27">
        <v>241.7</v>
      </c>
      <c r="X29" s="27">
        <v>11.59</v>
      </c>
      <c r="Y29" s="27">
        <v>99</v>
      </c>
      <c r="Z29">
        <v>25001</v>
      </c>
      <c r="AA29">
        <f t="shared" si="2"/>
        <v>3.9539775423058678E-2</v>
      </c>
    </row>
    <row r="30" spans="1:27" x14ac:dyDescent="0.25">
      <c r="A30" s="27" t="s">
        <v>36</v>
      </c>
      <c r="B30" s="32">
        <v>2</v>
      </c>
      <c r="C30" t="str">
        <f t="shared" si="4"/>
        <v>2</v>
      </c>
      <c r="D30" s="34" t="str">
        <f t="shared" si="5"/>
        <v>1</v>
      </c>
      <c r="E30" s="27" t="str">
        <f t="shared" si="6"/>
        <v>1</v>
      </c>
      <c r="F30" t="str">
        <f t="shared" si="1"/>
        <v>1</v>
      </c>
      <c r="G30" s="47" t="str">
        <f t="shared" si="7"/>
        <v>3</v>
      </c>
      <c r="H30" s="47" t="str">
        <f t="shared" si="8"/>
        <v>3</v>
      </c>
      <c r="I30" s="27" t="str">
        <f t="shared" si="9"/>
        <v>1</v>
      </c>
      <c r="J30" s="27" t="str">
        <f t="shared" si="10"/>
        <v>1</v>
      </c>
      <c r="K30" s="27" t="str">
        <f t="shared" si="11"/>
        <v>3</v>
      </c>
      <c r="L30" s="32">
        <v>2</v>
      </c>
      <c r="M30" s="32">
        <v>1</v>
      </c>
      <c r="N30" s="28" t="str">
        <f t="shared" si="3"/>
        <v>2</v>
      </c>
      <c r="O30" s="40">
        <v>2</v>
      </c>
      <c r="P30" s="42">
        <v>359149</v>
      </c>
      <c r="Q30" s="42">
        <v>2881100</v>
      </c>
      <c r="R30" s="27">
        <v>149</v>
      </c>
      <c r="S30" s="34">
        <v>85</v>
      </c>
      <c r="T30" s="27">
        <v>82</v>
      </c>
      <c r="U30" s="47">
        <v>18.98</v>
      </c>
      <c r="V30" s="47">
        <v>15.22</v>
      </c>
      <c r="W30" s="27">
        <v>248.2</v>
      </c>
      <c r="X30" s="27">
        <v>5.08</v>
      </c>
      <c r="Y30" s="27">
        <v>92</v>
      </c>
      <c r="Z30">
        <v>200000</v>
      </c>
      <c r="AA30">
        <f t="shared" si="2"/>
        <v>6.9417930651487283E-2</v>
      </c>
    </row>
    <row r="31" spans="1:27" x14ac:dyDescent="0.25">
      <c r="A31" s="27" t="s">
        <v>37</v>
      </c>
      <c r="B31" s="32">
        <v>2</v>
      </c>
      <c r="C31" t="str">
        <f t="shared" si="4"/>
        <v>2</v>
      </c>
      <c r="D31" s="34" t="str">
        <f t="shared" si="5"/>
        <v>1</v>
      </c>
      <c r="E31" s="27" t="str">
        <f t="shared" si="6"/>
        <v>1</v>
      </c>
      <c r="F31" t="str">
        <f t="shared" si="1"/>
        <v>5</v>
      </c>
      <c r="G31" s="47" t="str">
        <f t="shared" si="7"/>
        <v>2</v>
      </c>
      <c r="H31" s="47" t="str">
        <f t="shared" si="8"/>
        <v>3</v>
      </c>
      <c r="I31" s="27" t="str">
        <f t="shared" si="9"/>
        <v>1</v>
      </c>
      <c r="J31" s="27" t="str">
        <f t="shared" si="10"/>
        <v>1</v>
      </c>
      <c r="K31" s="27" t="str">
        <f t="shared" si="11"/>
        <v>2</v>
      </c>
      <c r="L31" s="32">
        <v>3</v>
      </c>
      <c r="M31" s="32">
        <v>1</v>
      </c>
      <c r="N31" s="28" t="str">
        <f t="shared" si="3"/>
        <v>1</v>
      </c>
      <c r="O31" s="40">
        <v>1</v>
      </c>
      <c r="P31" s="42">
        <v>5818687</v>
      </c>
      <c r="Q31" s="42">
        <v>38000000</v>
      </c>
      <c r="R31" s="27">
        <v>150</v>
      </c>
      <c r="S31" s="34">
        <v>64</v>
      </c>
      <c r="T31" s="27">
        <v>82</v>
      </c>
      <c r="U31" s="47">
        <v>25.44</v>
      </c>
      <c r="V31" s="47">
        <v>15.68</v>
      </c>
      <c r="W31" s="27">
        <v>123.6</v>
      </c>
      <c r="X31" s="27">
        <v>1.57</v>
      </c>
      <c r="Y31" s="27">
        <v>102</v>
      </c>
      <c r="Z31">
        <v>-50002</v>
      </c>
      <c r="AA31">
        <f t="shared" si="2"/>
        <v>-1.3158421052631578E-3</v>
      </c>
    </row>
    <row r="32" spans="1:27" x14ac:dyDescent="0.25">
      <c r="A32" s="27" t="s">
        <v>38</v>
      </c>
      <c r="B32" s="32">
        <v>1</v>
      </c>
      <c r="C32" t="str">
        <f t="shared" si="4"/>
        <v>2</v>
      </c>
      <c r="D32" s="34" t="str">
        <f t="shared" si="5"/>
        <v>1</v>
      </c>
      <c r="E32" s="27" t="str">
        <f t="shared" si="6"/>
        <v>2</v>
      </c>
      <c r="F32" t="str">
        <f t="shared" si="1"/>
        <v>5</v>
      </c>
      <c r="G32" s="47" t="str">
        <f t="shared" si="7"/>
        <v>3</v>
      </c>
      <c r="H32" s="47" t="str">
        <f t="shared" si="8"/>
        <v>1</v>
      </c>
      <c r="I32" s="27" t="str">
        <f t="shared" si="9"/>
        <v>2</v>
      </c>
      <c r="J32" s="27" t="str">
        <f t="shared" si="10"/>
        <v>1</v>
      </c>
      <c r="K32" s="27" t="str">
        <f t="shared" si="11"/>
        <v>3</v>
      </c>
      <c r="L32" s="32">
        <v>1</v>
      </c>
      <c r="M32" s="32">
        <v>3</v>
      </c>
      <c r="N32" s="28" t="str">
        <f t="shared" si="3"/>
        <v>1</v>
      </c>
      <c r="O32" s="40">
        <v>1</v>
      </c>
      <c r="P32" s="42">
        <v>961941</v>
      </c>
      <c r="Q32" s="42">
        <v>2794700</v>
      </c>
      <c r="R32" s="27">
        <v>154</v>
      </c>
      <c r="S32" s="34">
        <v>64</v>
      </c>
      <c r="T32" s="27">
        <v>80</v>
      </c>
      <c r="U32" s="47">
        <v>18.600000000000001</v>
      </c>
      <c r="V32" s="47">
        <v>23.45</v>
      </c>
      <c r="W32" s="27">
        <v>43.4</v>
      </c>
      <c r="X32" s="27">
        <v>2</v>
      </c>
      <c r="Y32" s="27">
        <v>93</v>
      </c>
      <c r="Z32">
        <v>-25000</v>
      </c>
      <c r="AA32">
        <f t="shared" si="2"/>
        <v>-8.9455039896947797E-3</v>
      </c>
    </row>
    <row r="33" spans="1:27" x14ac:dyDescent="0.25">
      <c r="A33" s="27" t="s">
        <v>39</v>
      </c>
      <c r="B33" s="32">
        <v>2</v>
      </c>
      <c r="C33" t="str">
        <f t="shared" si="4"/>
        <v>2</v>
      </c>
      <c r="D33" s="34" t="str">
        <f t="shared" si="5"/>
        <v>2</v>
      </c>
      <c r="E33" s="27" t="str">
        <f t="shared" si="6"/>
        <v>2</v>
      </c>
      <c r="F33" t="str">
        <f t="shared" si="1"/>
        <v>4</v>
      </c>
      <c r="G33" s="47" t="str">
        <f t="shared" si="7"/>
        <v>2</v>
      </c>
      <c r="H33" s="47" t="str">
        <f t="shared" si="8"/>
        <v>2</v>
      </c>
      <c r="I33" s="27" t="str">
        <f t="shared" si="9"/>
        <v>2</v>
      </c>
      <c r="J33" s="27" t="str">
        <f t="shared" si="10"/>
        <v>2</v>
      </c>
      <c r="K33" s="27" t="str">
        <f t="shared" si="11"/>
        <v>3</v>
      </c>
      <c r="L33" s="32">
        <v>3</v>
      </c>
      <c r="M33" s="32">
        <v>2</v>
      </c>
      <c r="N33" s="28" t="str">
        <f t="shared" si="3"/>
        <v>2</v>
      </c>
      <c r="O33" s="40">
        <v>2</v>
      </c>
      <c r="P33" s="42">
        <v>3823571</v>
      </c>
      <c r="Q33" s="42">
        <v>32000000</v>
      </c>
      <c r="R33" s="27">
        <v>129</v>
      </c>
      <c r="S33" s="34">
        <v>78</v>
      </c>
      <c r="T33" s="27">
        <v>68</v>
      </c>
      <c r="U33" s="47">
        <v>20.03</v>
      </c>
      <c r="V33" s="47">
        <v>16.43</v>
      </c>
      <c r="W33" s="27">
        <v>98.5</v>
      </c>
      <c r="X33" s="27">
        <v>1.04</v>
      </c>
      <c r="Y33" s="27">
        <v>86</v>
      </c>
      <c r="Z33">
        <v>249999</v>
      </c>
      <c r="AA33">
        <f t="shared" si="2"/>
        <v>7.81246875E-3</v>
      </c>
    </row>
    <row r="34" spans="1:27" x14ac:dyDescent="0.25">
      <c r="A34" s="27" t="s">
        <v>40</v>
      </c>
      <c r="B34" s="32">
        <v>1</v>
      </c>
      <c r="C34" t="str">
        <f t="shared" si="4"/>
        <v>2</v>
      </c>
      <c r="D34" s="34" t="str">
        <f t="shared" si="5"/>
        <v>2</v>
      </c>
      <c r="E34" s="27" t="str">
        <f t="shared" si="6"/>
        <v>1</v>
      </c>
      <c r="F34" t="str">
        <f t="shared" si="1"/>
        <v>5</v>
      </c>
      <c r="G34" s="47" t="str">
        <f t="shared" si="7"/>
        <v>3</v>
      </c>
      <c r="H34" s="47" t="str">
        <f t="shared" si="8"/>
        <v>3</v>
      </c>
      <c r="I34" s="27" t="str">
        <f t="shared" si="9"/>
        <v>2</v>
      </c>
      <c r="J34" s="27" t="str">
        <f t="shared" si="10"/>
        <v>1</v>
      </c>
      <c r="K34" s="27" t="str">
        <f t="shared" si="11"/>
        <v>2</v>
      </c>
      <c r="L34" s="32">
        <v>3</v>
      </c>
      <c r="M34" s="32">
        <v>1</v>
      </c>
      <c r="N34" s="28" t="str">
        <f t="shared" si="3"/>
        <v>1</v>
      </c>
      <c r="O34" s="40">
        <v>1</v>
      </c>
      <c r="P34" s="42">
        <v>742336</v>
      </c>
      <c r="Q34" s="42">
        <v>1901500</v>
      </c>
      <c r="R34" s="27">
        <v>142</v>
      </c>
      <c r="S34" s="34">
        <v>65</v>
      </c>
      <c r="T34" s="27">
        <v>81</v>
      </c>
      <c r="U34" s="47">
        <v>19.86</v>
      </c>
      <c r="V34" s="47">
        <v>15.14</v>
      </c>
      <c r="W34" s="27">
        <v>30.3</v>
      </c>
      <c r="X34" s="27">
        <v>1.76</v>
      </c>
      <c r="Y34" s="27">
        <v>101</v>
      </c>
      <c r="Z34">
        <v>-50000</v>
      </c>
      <c r="AA34">
        <f t="shared" si="2"/>
        <v>-2.6295030239284777E-2</v>
      </c>
    </row>
    <row r="35" spans="1:27" x14ac:dyDescent="0.25">
      <c r="A35" s="27" t="s">
        <v>41</v>
      </c>
      <c r="B35" s="32">
        <v>1</v>
      </c>
      <c r="C35" t="str">
        <f t="shared" si="4"/>
        <v>2</v>
      </c>
      <c r="D35" s="34" t="str">
        <f t="shared" si="5"/>
        <v>1</v>
      </c>
      <c r="E35" s="27" t="str">
        <f t="shared" si="6"/>
        <v>1</v>
      </c>
      <c r="F35" t="str">
        <f t="shared" si="1"/>
        <v>4</v>
      </c>
      <c r="G35" s="47" t="str">
        <f t="shared" si="7"/>
        <v>3</v>
      </c>
      <c r="H35" s="47" t="str">
        <f t="shared" si="8"/>
        <v>1</v>
      </c>
      <c r="I35" s="27" t="str">
        <f t="shared" si="9"/>
        <v>1</v>
      </c>
      <c r="J35" s="27" t="str">
        <f t="shared" si="10"/>
        <v>1</v>
      </c>
      <c r="K35" s="27" t="str">
        <f t="shared" si="11"/>
        <v>2</v>
      </c>
      <c r="L35" s="32">
        <v>1</v>
      </c>
      <c r="M35" s="32">
        <v>1</v>
      </c>
      <c r="N35" s="28" t="str">
        <f t="shared" si="3"/>
        <v>1</v>
      </c>
      <c r="O35" s="40">
        <v>1</v>
      </c>
      <c r="P35" s="42">
        <v>917820</v>
      </c>
      <c r="Q35" s="42">
        <v>2100100</v>
      </c>
      <c r="R35" s="27">
        <v>148</v>
      </c>
      <c r="S35" s="34">
        <v>63</v>
      </c>
      <c r="T35" s="27">
        <v>91</v>
      </c>
      <c r="U35" s="47">
        <f>AVERAGE(U18:U34)</f>
        <v>19.552352941176469</v>
      </c>
      <c r="V35" s="47">
        <v>22.49</v>
      </c>
      <c r="W35" s="27">
        <v>103.2</v>
      </c>
      <c r="X35" s="27">
        <v>2.52</v>
      </c>
      <c r="Y35" s="27">
        <v>94</v>
      </c>
      <c r="Z35">
        <v>6002</v>
      </c>
      <c r="AA35">
        <f t="shared" si="2"/>
        <v>2.8579591448026284E-3</v>
      </c>
    </row>
    <row r="36" spans="1:27" x14ac:dyDescent="0.25">
      <c r="A36" s="27" t="s">
        <v>42</v>
      </c>
      <c r="B36" s="32">
        <v>2</v>
      </c>
      <c r="C36" t="str">
        <f t="shared" si="4"/>
        <v>1</v>
      </c>
      <c r="D36" s="34" t="str">
        <f t="shared" si="5"/>
        <v>2</v>
      </c>
      <c r="E36" s="27" t="str">
        <f t="shared" si="6"/>
        <v>2</v>
      </c>
      <c r="F36" t="str">
        <f t="shared" si="1"/>
        <v>1</v>
      </c>
      <c r="G36" s="47" t="str">
        <f t="shared" si="7"/>
        <v>2</v>
      </c>
      <c r="H36" s="47" t="str">
        <f t="shared" si="8"/>
        <v>3</v>
      </c>
      <c r="I36" s="27" t="str">
        <f t="shared" si="9"/>
        <v>3</v>
      </c>
      <c r="J36" s="27" t="str">
        <f t="shared" si="10"/>
        <v>1</v>
      </c>
      <c r="K36" s="27" t="str">
        <f t="shared" si="11"/>
        <v>3</v>
      </c>
      <c r="L36" s="32">
        <v>3</v>
      </c>
      <c r="M36" s="32">
        <v>2</v>
      </c>
      <c r="N36" s="28" t="str">
        <f t="shared" si="3"/>
        <v>2</v>
      </c>
      <c r="O36" s="40">
        <v>2</v>
      </c>
      <c r="P36" s="42">
        <v>386460</v>
      </c>
      <c r="Q36" s="42">
        <v>5106600</v>
      </c>
      <c r="R36" s="27">
        <v>127</v>
      </c>
      <c r="S36" s="34">
        <v>98</v>
      </c>
      <c r="T36" s="27">
        <v>76</v>
      </c>
      <c r="U36" s="47">
        <v>24.75</v>
      </c>
      <c r="V36" s="47">
        <v>13.66</v>
      </c>
      <c r="W36" s="27">
        <v>16.5</v>
      </c>
      <c r="X36" s="27">
        <v>1.55</v>
      </c>
      <c r="Y36" s="27">
        <v>89</v>
      </c>
      <c r="Z36">
        <v>605000</v>
      </c>
      <c r="AA36">
        <f t="shared" si="2"/>
        <v>0.11847413151607723</v>
      </c>
    </row>
    <row r="37" spans="1:27" x14ac:dyDescent="0.25">
      <c r="A37" s="27" t="s">
        <v>43</v>
      </c>
      <c r="B37" s="32">
        <v>1</v>
      </c>
      <c r="C37" t="str">
        <f t="shared" si="4"/>
        <v>2</v>
      </c>
      <c r="D37" s="34" t="str">
        <f t="shared" si="5"/>
        <v>2</v>
      </c>
      <c r="E37" s="27" t="str">
        <f t="shared" si="6"/>
        <v>1</v>
      </c>
      <c r="F37" t="str">
        <f t="shared" si="1"/>
        <v>4</v>
      </c>
      <c r="G37" s="47" t="str">
        <f t="shared" si="7"/>
        <v>1</v>
      </c>
      <c r="H37" s="47" t="str">
        <f t="shared" si="8"/>
        <v>2</v>
      </c>
      <c r="I37" s="27" t="str">
        <f t="shared" si="9"/>
        <v>2</v>
      </c>
      <c r="J37" s="27" t="str">
        <f t="shared" si="10"/>
        <v>1</v>
      </c>
      <c r="K37" s="27" t="str">
        <f t="shared" si="11"/>
        <v>3</v>
      </c>
      <c r="L37" s="32">
        <v>2</v>
      </c>
      <c r="M37" s="32">
        <v>3</v>
      </c>
      <c r="N37" s="28" t="str">
        <f t="shared" si="3"/>
        <v>1</v>
      </c>
      <c r="O37" s="40">
        <v>1</v>
      </c>
      <c r="P37" s="42">
        <v>2635614</v>
      </c>
      <c r="Q37" s="42">
        <v>11000000</v>
      </c>
      <c r="R37" s="27">
        <v>139</v>
      </c>
      <c r="S37" s="34">
        <v>65</v>
      </c>
      <c r="T37" s="27">
        <v>90</v>
      </c>
      <c r="U37" s="47">
        <v>30.4</v>
      </c>
      <c r="V37" s="47">
        <v>16.5</v>
      </c>
      <c r="W37" s="27">
        <v>80.900000000000006</v>
      </c>
      <c r="X37" s="27">
        <v>1.77</v>
      </c>
      <c r="Y37" s="27">
        <v>86</v>
      </c>
      <c r="Z37">
        <v>49996</v>
      </c>
      <c r="AA37">
        <f t="shared" si="2"/>
        <v>4.5450909090909092E-3</v>
      </c>
    </row>
    <row r="38" spans="1:27" x14ac:dyDescent="0.25">
      <c r="A38" s="27" t="s">
        <v>44</v>
      </c>
      <c r="B38" s="32">
        <v>1</v>
      </c>
      <c r="C38" t="str">
        <f t="shared" si="4"/>
        <v>2</v>
      </c>
      <c r="D38" s="34" t="str">
        <f t="shared" si="5"/>
        <v>2</v>
      </c>
      <c r="E38" s="27" t="str">
        <f t="shared" si="6"/>
        <v>1</v>
      </c>
      <c r="F38" t="str">
        <f t="shared" si="1"/>
        <v>5</v>
      </c>
      <c r="G38" s="47" t="str">
        <f t="shared" si="7"/>
        <v>3</v>
      </c>
      <c r="H38" s="47" t="str">
        <f t="shared" si="8"/>
        <v>3</v>
      </c>
      <c r="I38" s="27" t="str">
        <f t="shared" si="9"/>
        <v>2</v>
      </c>
      <c r="J38" s="27" t="str">
        <f t="shared" si="10"/>
        <v>1</v>
      </c>
      <c r="K38" s="27" t="str">
        <f t="shared" si="11"/>
        <v>2</v>
      </c>
      <c r="L38" s="32">
        <v>2</v>
      </c>
      <c r="M38" s="32">
        <v>2</v>
      </c>
      <c r="N38" s="28" t="str">
        <f t="shared" si="3"/>
        <v>1</v>
      </c>
      <c r="O38" s="40">
        <v>1</v>
      </c>
      <c r="P38" s="42">
        <v>531164</v>
      </c>
      <c r="Q38" s="42">
        <v>1331100</v>
      </c>
      <c r="R38" s="27">
        <v>138</v>
      </c>
      <c r="S38" s="34">
        <v>63</v>
      </c>
      <c r="T38" s="27">
        <v>86</v>
      </c>
      <c r="U38" s="47">
        <v>17.579999999999998</v>
      </c>
      <c r="V38" s="47">
        <v>14.54</v>
      </c>
      <c r="W38" s="27">
        <v>31.3</v>
      </c>
      <c r="X38" s="27">
        <v>2.33</v>
      </c>
      <c r="Y38" s="27">
        <v>94</v>
      </c>
      <c r="Z38">
        <v>-4999</v>
      </c>
      <c r="AA38">
        <f t="shared" si="2"/>
        <v>-3.7555405303884007E-3</v>
      </c>
    </row>
    <row r="39" spans="1:27" x14ac:dyDescent="0.25">
      <c r="A39" s="27" t="s">
        <v>45</v>
      </c>
      <c r="B39" s="32">
        <v>2</v>
      </c>
      <c r="C39" t="str">
        <f t="shared" si="4"/>
        <v>3</v>
      </c>
      <c r="D39" s="34" t="str">
        <f t="shared" si="5"/>
        <v>2</v>
      </c>
      <c r="E39" s="27" t="str">
        <f t="shared" si="6"/>
        <v>1</v>
      </c>
      <c r="F39" t="str">
        <f t="shared" si="1"/>
        <v>5</v>
      </c>
      <c r="G39" s="47" t="str">
        <f t="shared" si="7"/>
        <v>3</v>
      </c>
      <c r="H39" s="47" t="str">
        <f t="shared" si="8"/>
        <v>1</v>
      </c>
      <c r="I39" s="27" t="str">
        <f t="shared" si="9"/>
        <v>2</v>
      </c>
      <c r="J39" s="27" t="str">
        <f t="shared" si="10"/>
        <v>1</v>
      </c>
      <c r="K39" s="27" t="str">
        <f t="shared" si="11"/>
        <v>2</v>
      </c>
      <c r="L39" s="32">
        <v>1</v>
      </c>
      <c r="M39" s="32">
        <v>2</v>
      </c>
      <c r="N39" s="28" t="str">
        <f t="shared" si="3"/>
        <v>1</v>
      </c>
      <c r="O39" s="40">
        <v>2</v>
      </c>
      <c r="P39" s="42">
        <v>1073386</v>
      </c>
      <c r="Q39" s="42">
        <v>4164783</v>
      </c>
      <c r="R39" s="27">
        <v>142</v>
      </c>
      <c r="S39" s="34">
        <v>62</v>
      </c>
      <c r="T39" s="27">
        <v>87</v>
      </c>
      <c r="U39" s="47">
        <v>9.2799999999999994</v>
      </c>
      <c r="V39" s="47">
        <v>23.94</v>
      </c>
      <c r="W39" s="27">
        <v>73.400000000000006</v>
      </c>
      <c r="X39" s="27">
        <v>1.41</v>
      </c>
      <c r="Y39" s="27">
        <v>94</v>
      </c>
      <c r="Z39">
        <v>-40004</v>
      </c>
      <c r="AA39">
        <f t="shared" si="2"/>
        <v>-9.6053023650932122E-3</v>
      </c>
    </row>
    <row r="40" spans="1:27" x14ac:dyDescent="0.25">
      <c r="A40" s="27" t="s">
        <v>46</v>
      </c>
      <c r="B40" s="32">
        <v>2</v>
      </c>
      <c r="C40" t="str">
        <f t="shared" si="4"/>
        <v>2</v>
      </c>
      <c r="D40" s="34" t="str">
        <f t="shared" si="5"/>
        <v>2</v>
      </c>
      <c r="E40" s="27" t="str">
        <f t="shared" si="6"/>
        <v>2</v>
      </c>
      <c r="F40" t="str">
        <f t="shared" si="1"/>
        <v>3</v>
      </c>
      <c r="G40" s="47" t="str">
        <f t="shared" si="7"/>
        <v>1</v>
      </c>
      <c r="H40" s="47" t="str">
        <f t="shared" si="8"/>
        <v>1</v>
      </c>
      <c r="I40" s="27" t="str">
        <f t="shared" si="9"/>
        <v>1</v>
      </c>
      <c r="J40" s="27" t="str">
        <f t="shared" si="10"/>
        <v>2</v>
      </c>
      <c r="K40" s="27" t="str">
        <f t="shared" si="11"/>
        <v>3</v>
      </c>
      <c r="L40" s="32">
        <v>3</v>
      </c>
      <c r="M40" s="32">
        <v>3</v>
      </c>
      <c r="N40" s="28" t="str">
        <f t="shared" si="3"/>
        <v>1</v>
      </c>
      <c r="O40" s="40">
        <v>1</v>
      </c>
      <c r="P40" s="42">
        <v>14551665</v>
      </c>
      <c r="Q40" s="42">
        <v>84000000</v>
      </c>
      <c r="R40" s="27">
        <v>126</v>
      </c>
      <c r="S40" s="34">
        <v>79</v>
      </c>
      <c r="T40" s="27">
        <v>74</v>
      </c>
      <c r="U40" s="47">
        <v>40.090000000000003</v>
      </c>
      <c r="V40" s="47">
        <v>20.83</v>
      </c>
      <c r="W40" s="27">
        <v>109.6</v>
      </c>
      <c r="X40" s="27">
        <v>0.85</v>
      </c>
      <c r="Y40" s="27">
        <v>93</v>
      </c>
      <c r="Z40">
        <v>1419610</v>
      </c>
      <c r="AA40">
        <f t="shared" si="2"/>
        <v>1.6900119047619049E-2</v>
      </c>
    </row>
    <row r="41" spans="1:27" x14ac:dyDescent="0.25">
      <c r="A41" s="27" t="s">
        <v>99</v>
      </c>
      <c r="B41" s="32">
        <v>1</v>
      </c>
      <c r="C41" t="str">
        <f t="shared" si="4"/>
        <v>2</v>
      </c>
      <c r="D41" s="34" t="str">
        <f t="shared" si="5"/>
        <v>2</v>
      </c>
      <c r="E41" s="27" t="str">
        <f t="shared" si="6"/>
        <v>1</v>
      </c>
      <c r="F41" t="str">
        <f t="shared" si="1"/>
        <v>4</v>
      </c>
      <c r="G41" s="47" t="str">
        <f t="shared" si="7"/>
        <v>2</v>
      </c>
      <c r="H41" s="47" t="str">
        <f t="shared" si="8"/>
        <v>1</v>
      </c>
      <c r="I41" s="27" t="str">
        <f t="shared" si="9"/>
        <v>2</v>
      </c>
      <c r="J41" s="27" t="str">
        <f t="shared" si="10"/>
        <v>1</v>
      </c>
      <c r="K41" s="27" t="str">
        <f t="shared" si="11"/>
        <v>3</v>
      </c>
      <c r="L41" s="32">
        <v>2</v>
      </c>
      <c r="M41" s="32">
        <v>3</v>
      </c>
      <c r="N41" s="28" t="str">
        <f t="shared" si="3"/>
        <v>1</v>
      </c>
      <c r="O41" s="40">
        <v>2</v>
      </c>
      <c r="P41" s="42">
        <v>1341826</v>
      </c>
      <c r="Q41" s="42">
        <v>4994700</v>
      </c>
      <c r="R41" s="27">
        <v>132</v>
      </c>
      <c r="S41" s="34">
        <v>69</v>
      </c>
      <c r="T41" s="27">
        <v>95</v>
      </c>
      <c r="U41" s="47">
        <f>AVERAGE(U36:U40)</f>
        <v>24.419999999999998</v>
      </c>
      <c r="V41" s="47">
        <v>20.22</v>
      </c>
      <c r="W41" s="27">
        <v>71.7</v>
      </c>
      <c r="X41" s="27">
        <v>8.3800000000000008</v>
      </c>
      <c r="Y41" s="27">
        <v>86</v>
      </c>
      <c r="Z41">
        <v>23497</v>
      </c>
      <c r="AA41">
        <f t="shared" si="2"/>
        <v>4.7043866498488402E-3</v>
      </c>
    </row>
    <row r="42" spans="1:27" x14ac:dyDescent="0.25">
      <c r="A42" s="27" t="s">
        <v>47</v>
      </c>
      <c r="B42" s="32">
        <v>2</v>
      </c>
      <c r="C42" t="str">
        <f t="shared" si="4"/>
        <v>2</v>
      </c>
      <c r="D42" s="34" t="str">
        <f t="shared" si="5"/>
        <v>2</v>
      </c>
      <c r="E42" s="27" t="str">
        <f t="shared" si="6"/>
        <v>2</v>
      </c>
      <c r="F42" t="str">
        <f t="shared" si="1"/>
        <v>5</v>
      </c>
      <c r="G42" s="47" t="str">
        <f t="shared" si="7"/>
        <v>1</v>
      </c>
      <c r="H42" s="47" t="str">
        <f t="shared" si="8"/>
        <v>2</v>
      </c>
      <c r="I42" s="27" t="str">
        <f t="shared" si="9"/>
        <v>2</v>
      </c>
      <c r="J42" s="27" t="str">
        <f t="shared" si="10"/>
        <v>2</v>
      </c>
      <c r="K42" s="27" t="str">
        <f t="shared" si="11"/>
        <v>3</v>
      </c>
      <c r="L42" s="32">
        <v>2</v>
      </c>
      <c r="M42" s="32">
        <v>2</v>
      </c>
      <c r="N42" s="28" t="str">
        <f t="shared" si="3"/>
        <v>1</v>
      </c>
      <c r="O42" s="40">
        <v>2</v>
      </c>
      <c r="P42" s="42">
        <v>1635509</v>
      </c>
      <c r="Q42" s="42">
        <v>3714000</v>
      </c>
      <c r="R42" s="27">
        <v>120</v>
      </c>
      <c r="S42" s="34">
        <v>67</v>
      </c>
      <c r="T42" s="27">
        <v>67</v>
      </c>
      <c r="U42" s="47">
        <v>28.82</v>
      </c>
      <c r="V42" s="47">
        <v>16.579999999999998</v>
      </c>
      <c r="W42" s="27">
        <v>57.4</v>
      </c>
      <c r="X42" s="27">
        <v>0.4</v>
      </c>
      <c r="Y42" s="27">
        <v>92</v>
      </c>
      <c r="Z42">
        <v>-50000</v>
      </c>
      <c r="AA42">
        <f t="shared" si="2"/>
        <v>-1.3462574044157244E-2</v>
      </c>
    </row>
    <row r="43" spans="1:27" x14ac:dyDescent="0.25">
      <c r="A43" s="27" t="s">
        <v>48</v>
      </c>
      <c r="B43" s="32">
        <v>1</v>
      </c>
      <c r="C43" t="str">
        <f t="shared" si="4"/>
        <v>2</v>
      </c>
      <c r="D43" s="34" t="str">
        <f t="shared" si="5"/>
        <v>2</v>
      </c>
      <c r="E43" s="27" t="str">
        <f t="shared" si="6"/>
        <v>1</v>
      </c>
      <c r="F43" t="str">
        <f t="shared" si="1"/>
        <v>3</v>
      </c>
      <c r="G43" s="47" t="str">
        <f t="shared" si="7"/>
        <v>3</v>
      </c>
      <c r="H43" s="47" t="str">
        <f t="shared" si="8"/>
        <v>1</v>
      </c>
      <c r="I43" s="27" t="str">
        <f t="shared" si="9"/>
        <v>1</v>
      </c>
      <c r="J43" s="27" t="str">
        <f t="shared" si="10"/>
        <v>1</v>
      </c>
      <c r="K43" s="27" t="str">
        <f t="shared" si="11"/>
        <v>2</v>
      </c>
      <c r="L43" s="32">
        <v>3</v>
      </c>
      <c r="M43" s="32">
        <v>2</v>
      </c>
      <c r="N43" s="28" t="str">
        <f t="shared" si="3"/>
        <v>1</v>
      </c>
      <c r="O43" s="40">
        <v>1</v>
      </c>
      <c r="P43" s="42">
        <v>353002</v>
      </c>
      <c r="Q43" s="42">
        <v>1207400</v>
      </c>
      <c r="R43" s="27">
        <v>126</v>
      </c>
      <c r="S43" s="34">
        <v>67</v>
      </c>
      <c r="T43" s="27">
        <v>90</v>
      </c>
      <c r="U43" s="47">
        <v>14.97</v>
      </c>
      <c r="V43" s="47">
        <v>19.239999999999998</v>
      </c>
      <c r="W43" s="27">
        <v>130.69999999999999</v>
      </c>
      <c r="X43" s="27">
        <v>2.66</v>
      </c>
      <c r="Y43" s="27">
        <v>98</v>
      </c>
      <c r="Z43">
        <v>25001</v>
      </c>
      <c r="AA43">
        <f t="shared" si="2"/>
        <v>2.0706476726851084E-2</v>
      </c>
    </row>
    <row r="44" spans="1:27" x14ac:dyDescent="0.25">
      <c r="A44" s="27" t="s">
        <v>49</v>
      </c>
      <c r="B44" s="32">
        <v>1</v>
      </c>
      <c r="C44" t="str">
        <f t="shared" si="4"/>
        <v>2</v>
      </c>
      <c r="D44" s="34" t="str">
        <f t="shared" si="5"/>
        <v>1</v>
      </c>
      <c r="E44" s="27" t="str">
        <f t="shared" si="6"/>
        <v>2</v>
      </c>
      <c r="F44" t="str">
        <f t="shared" si="1"/>
        <v>4</v>
      </c>
      <c r="G44" s="47" t="str">
        <f t="shared" si="7"/>
        <v>2</v>
      </c>
      <c r="H44" s="47" t="str">
        <f t="shared" si="8"/>
        <v>2</v>
      </c>
      <c r="I44" s="27" t="str">
        <f t="shared" si="9"/>
        <v>2</v>
      </c>
      <c r="J44" s="27" t="str">
        <f t="shared" si="10"/>
        <v>1</v>
      </c>
      <c r="K44" s="27" t="str">
        <f t="shared" si="11"/>
        <v>3</v>
      </c>
      <c r="L44" s="32">
        <v>3</v>
      </c>
      <c r="M44" s="32">
        <v>1</v>
      </c>
      <c r="N44" s="28" t="str">
        <f t="shared" si="3"/>
        <v>1</v>
      </c>
      <c r="O44" s="40">
        <v>2</v>
      </c>
      <c r="P44" s="42">
        <v>3301747</v>
      </c>
      <c r="Q44" s="42">
        <v>19000000</v>
      </c>
      <c r="R44" s="27">
        <v>151</v>
      </c>
      <c r="S44" s="34">
        <v>63</v>
      </c>
      <c r="T44" s="27">
        <v>78</v>
      </c>
      <c r="U44" s="47">
        <f>AVERAGE(U42:U43)</f>
        <v>21.895</v>
      </c>
      <c r="V44" s="47">
        <v>18.04</v>
      </c>
      <c r="W44" s="27">
        <v>25.7</v>
      </c>
      <c r="X44" s="27">
        <v>1.32</v>
      </c>
      <c r="Y44" s="27">
        <v>92</v>
      </c>
      <c r="Z44">
        <v>85285</v>
      </c>
      <c r="AA44">
        <f t="shared" si="2"/>
        <v>4.4886842105263157E-3</v>
      </c>
    </row>
    <row r="45" spans="1:27" x14ac:dyDescent="0.25">
      <c r="A45" s="27" t="s">
        <v>50</v>
      </c>
      <c r="B45" s="32">
        <v>2</v>
      </c>
      <c r="C45" t="str">
        <f t="shared" si="4"/>
        <v>3</v>
      </c>
      <c r="D45" s="34" t="str">
        <f t="shared" si="5"/>
        <v>3</v>
      </c>
      <c r="E45" s="27" t="str">
        <f t="shared" si="6"/>
        <v>1</v>
      </c>
      <c r="F45" t="str">
        <f t="shared" si="1"/>
        <v>5</v>
      </c>
      <c r="G45" s="47" t="str">
        <f t="shared" si="7"/>
        <v>3</v>
      </c>
      <c r="H45" s="47" t="str">
        <f t="shared" si="8"/>
        <v>3</v>
      </c>
      <c r="I45" s="27" t="str">
        <f t="shared" si="9"/>
        <v>2</v>
      </c>
      <c r="J45" s="27" t="str">
        <f t="shared" si="10"/>
        <v>2</v>
      </c>
      <c r="K45" s="27" t="str">
        <f t="shared" si="11"/>
        <v>2</v>
      </c>
      <c r="L45" s="32">
        <v>2</v>
      </c>
      <c r="M45" s="32">
        <v>2</v>
      </c>
      <c r="N45" s="28" t="str">
        <f t="shared" si="3"/>
        <v>1</v>
      </c>
      <c r="O45" s="40">
        <v>2</v>
      </c>
      <c r="P45" s="42">
        <v>231557</v>
      </c>
      <c r="Q45" s="42">
        <v>621306</v>
      </c>
      <c r="R45" s="27">
        <v>112</v>
      </c>
      <c r="S45" s="34">
        <v>61</v>
      </c>
      <c r="T45" s="27">
        <v>81</v>
      </c>
      <c r="U45" s="47">
        <v>14.83</v>
      </c>
      <c r="V45" s="47">
        <v>15.76</v>
      </c>
      <c r="W45" s="27">
        <v>45</v>
      </c>
      <c r="X45" s="27">
        <v>0.9</v>
      </c>
      <c r="Y45" s="27">
        <v>98</v>
      </c>
      <c r="Z45">
        <v>-2400</v>
      </c>
      <c r="AA45">
        <f t="shared" si="2"/>
        <v>-3.8628308756071886E-3</v>
      </c>
    </row>
    <row r="46" spans="1:27" x14ac:dyDescent="0.25">
      <c r="A46" s="27" t="s">
        <v>51</v>
      </c>
      <c r="B46" s="32">
        <v>1</v>
      </c>
      <c r="C46" t="str">
        <f t="shared" si="4"/>
        <v>3</v>
      </c>
      <c r="D46" s="34" t="str">
        <f t="shared" si="5"/>
        <v>2</v>
      </c>
      <c r="E46" s="27" t="str">
        <f t="shared" si="6"/>
        <v>1</v>
      </c>
      <c r="F46" t="str">
        <f t="shared" si="1"/>
        <v>4</v>
      </c>
      <c r="G46" s="47" t="str">
        <f t="shared" si="7"/>
        <v>3</v>
      </c>
      <c r="H46" s="47" t="str">
        <f t="shared" si="8"/>
        <v>3</v>
      </c>
      <c r="I46" s="27" t="str">
        <f t="shared" si="9"/>
        <v>1</v>
      </c>
      <c r="J46" s="27" t="str">
        <f t="shared" si="10"/>
        <v>1</v>
      </c>
      <c r="K46" s="27" t="str">
        <f t="shared" si="11"/>
        <v>2</v>
      </c>
      <c r="L46" s="32">
        <v>1</v>
      </c>
      <c r="M46" s="32">
        <v>3</v>
      </c>
      <c r="N46" s="28" t="str">
        <f t="shared" si="3"/>
        <v>1</v>
      </c>
      <c r="O46" s="40">
        <v>2</v>
      </c>
      <c r="P46" s="42">
        <v>3683211</v>
      </c>
      <c r="Q46" s="42">
        <v>11000000</v>
      </c>
      <c r="R46" s="27">
        <v>121</v>
      </c>
      <c r="S46" s="34">
        <v>62</v>
      </c>
      <c r="T46" s="27">
        <v>89</v>
      </c>
      <c r="U46" s="47">
        <v>12.86</v>
      </c>
      <c r="V46" s="47">
        <v>14.37</v>
      </c>
      <c r="W46" s="27">
        <v>138.6</v>
      </c>
      <c r="X46" s="27">
        <v>2.2999999999999998</v>
      </c>
      <c r="Y46" s="27">
        <v>95</v>
      </c>
      <c r="Z46">
        <v>59997</v>
      </c>
      <c r="AA46">
        <f t="shared" si="2"/>
        <v>5.4542727272727269E-3</v>
      </c>
    </row>
    <row r="47" spans="1:27" x14ac:dyDescent="0.25">
      <c r="A47" s="27" t="s">
        <v>52</v>
      </c>
      <c r="B47" s="32">
        <v>1</v>
      </c>
      <c r="C47" t="str">
        <f t="shared" si="4"/>
        <v>3</v>
      </c>
      <c r="D47" s="34" t="str">
        <f t="shared" si="5"/>
        <v>2</v>
      </c>
      <c r="E47" s="27" t="str">
        <f t="shared" si="6"/>
        <v>1</v>
      </c>
      <c r="F47" t="str">
        <f t="shared" si="1"/>
        <v>4</v>
      </c>
      <c r="G47" s="47" t="str">
        <f t="shared" si="7"/>
        <v>2</v>
      </c>
      <c r="H47" s="47" t="str">
        <f t="shared" si="8"/>
        <v>3</v>
      </c>
      <c r="I47" s="27" t="str">
        <f t="shared" si="9"/>
        <v>1</v>
      </c>
      <c r="J47" s="27" t="str">
        <f t="shared" si="10"/>
        <v>1</v>
      </c>
      <c r="K47" s="27" t="str">
        <f t="shared" si="11"/>
        <v>3</v>
      </c>
      <c r="L47" s="32">
        <v>1</v>
      </c>
      <c r="M47" s="32">
        <v>1</v>
      </c>
      <c r="N47" s="28" t="str">
        <f t="shared" si="3"/>
        <v>2</v>
      </c>
      <c r="O47" s="40">
        <v>2</v>
      </c>
      <c r="P47" s="42">
        <v>72858</v>
      </c>
      <c r="Q47" s="42">
        <v>525300</v>
      </c>
      <c r="R47" s="27">
        <v>137</v>
      </c>
      <c r="S47" s="34">
        <v>50</v>
      </c>
      <c r="T47" s="27">
        <v>90</v>
      </c>
      <c r="U47" s="47">
        <v>24.19</v>
      </c>
      <c r="V47" s="47">
        <v>14.4</v>
      </c>
      <c r="W47" s="27">
        <v>1379.8</v>
      </c>
      <c r="X47" s="27">
        <v>2.79</v>
      </c>
      <c r="Y47" s="27">
        <v>87</v>
      </c>
      <c r="Z47">
        <v>4501</v>
      </c>
      <c r="AA47">
        <f t="shared" si="2"/>
        <v>8.5684370835712922E-3</v>
      </c>
    </row>
    <row r="48" spans="1:27" x14ac:dyDescent="0.25">
      <c r="A48" s="27" t="s">
        <v>100</v>
      </c>
      <c r="B48" s="32">
        <v>1</v>
      </c>
      <c r="C48" t="str">
        <f t="shared" si="4"/>
        <v>2</v>
      </c>
      <c r="D48" s="34" t="str">
        <f t="shared" si="5"/>
        <v>3</v>
      </c>
      <c r="E48" s="27" t="str">
        <f t="shared" si="6"/>
        <v>1</v>
      </c>
      <c r="F48" t="str">
        <f t="shared" si="1"/>
        <v>4</v>
      </c>
      <c r="G48" s="47" t="str">
        <f t="shared" si="7"/>
        <v>3</v>
      </c>
      <c r="H48" s="47" t="str">
        <f t="shared" si="8"/>
        <v>3</v>
      </c>
      <c r="I48" s="27" t="str">
        <f t="shared" si="9"/>
        <v>2</v>
      </c>
      <c r="J48" s="27" t="str">
        <f t="shared" si="10"/>
        <v>1</v>
      </c>
      <c r="K48" s="27" t="str">
        <f t="shared" si="11"/>
        <v>2</v>
      </c>
      <c r="L48" s="32">
        <v>2</v>
      </c>
      <c r="M48" s="32">
        <v>2</v>
      </c>
      <c r="N48" s="28" t="str">
        <f t="shared" si="3"/>
        <v>1</v>
      </c>
      <c r="O48" s="40">
        <v>2</v>
      </c>
      <c r="P48" s="42">
        <v>11223974</v>
      </c>
      <c r="Q48" s="42">
        <v>47000000</v>
      </c>
      <c r="R48" s="27">
        <v>116</v>
      </c>
      <c r="S48" s="34">
        <v>78</v>
      </c>
      <c r="T48" s="27">
        <v>92</v>
      </c>
      <c r="U48" s="47">
        <v>11.81</v>
      </c>
      <c r="V48" s="47">
        <v>13.05</v>
      </c>
      <c r="W48" s="27">
        <v>93.7</v>
      </c>
      <c r="X48" s="27">
        <v>2.71</v>
      </c>
      <c r="Y48" s="27">
        <v>96</v>
      </c>
      <c r="Z48">
        <v>200000</v>
      </c>
      <c r="AA48">
        <f t="shared" si="2"/>
        <v>4.2553191489361703E-3</v>
      </c>
    </row>
    <row r="49" spans="1:27" x14ac:dyDescent="0.25">
      <c r="A49" s="27" t="s">
        <v>53</v>
      </c>
      <c r="B49" s="32">
        <v>1</v>
      </c>
      <c r="C49" t="str">
        <f t="shared" si="4"/>
        <v>3</v>
      </c>
      <c r="D49" s="34" t="str">
        <f t="shared" si="5"/>
        <v>2</v>
      </c>
      <c r="E49" s="27" t="str">
        <f t="shared" si="6"/>
        <v>1</v>
      </c>
      <c r="F49" t="str">
        <f t="shared" si="1"/>
        <v>5</v>
      </c>
      <c r="G49" s="47" t="str">
        <f t="shared" si="7"/>
        <v>3</v>
      </c>
      <c r="H49" s="47" t="str">
        <f t="shared" si="8"/>
        <v>2</v>
      </c>
      <c r="I49" s="27" t="str">
        <f t="shared" si="9"/>
        <v>1</v>
      </c>
      <c r="J49" s="27" t="str">
        <f t="shared" si="10"/>
        <v>1</v>
      </c>
      <c r="K49" s="27" t="str">
        <f t="shared" si="11"/>
        <v>3</v>
      </c>
      <c r="L49" s="32">
        <v>2</v>
      </c>
      <c r="M49" s="32">
        <v>2</v>
      </c>
      <c r="N49" s="28" t="str">
        <f t="shared" si="3"/>
        <v>1</v>
      </c>
      <c r="O49" s="40">
        <v>2</v>
      </c>
      <c r="P49" s="42">
        <v>3380263</v>
      </c>
      <c r="Q49" s="42">
        <v>10000000</v>
      </c>
      <c r="R49" s="27">
        <v>131</v>
      </c>
      <c r="S49" s="34">
        <v>62</v>
      </c>
      <c r="T49" s="27">
        <v>86</v>
      </c>
      <c r="U49" s="47">
        <v>13</v>
      </c>
      <c r="V49" s="47">
        <v>16.55</v>
      </c>
      <c r="W49" s="27">
        <v>111.3</v>
      </c>
      <c r="X49" s="27">
        <v>2.2400000000000002</v>
      </c>
      <c r="Y49" s="27">
        <v>87</v>
      </c>
      <c r="Z49">
        <v>-30001</v>
      </c>
      <c r="AA49">
        <f t="shared" si="2"/>
        <v>-3.0000999999999999E-3</v>
      </c>
    </row>
    <row r="50" spans="1:27" x14ac:dyDescent="0.25">
      <c r="A50" s="27" t="s">
        <v>54</v>
      </c>
      <c r="B50" s="32">
        <v>2</v>
      </c>
      <c r="C50" t="str">
        <f t="shared" si="4"/>
        <v>3</v>
      </c>
      <c r="D50" s="34" t="str">
        <f t="shared" si="5"/>
        <v>2</v>
      </c>
      <c r="E50" s="27" t="str">
        <f t="shared" si="6"/>
        <v>2</v>
      </c>
      <c r="F50" t="str">
        <f t="shared" si="1"/>
        <v>4</v>
      </c>
      <c r="G50" s="47" t="str">
        <f t="shared" si="7"/>
        <v>2</v>
      </c>
      <c r="H50" s="47" t="str">
        <f t="shared" si="8"/>
        <v>3</v>
      </c>
      <c r="I50" s="27" t="str">
        <f t="shared" si="9"/>
        <v>1</v>
      </c>
      <c r="J50" s="27" t="str">
        <f t="shared" si="10"/>
        <v>2</v>
      </c>
      <c r="K50" s="27" t="str">
        <f t="shared" si="11"/>
        <v>2</v>
      </c>
      <c r="L50" s="32">
        <v>2</v>
      </c>
      <c r="M50" s="32">
        <v>2</v>
      </c>
      <c r="N50" s="28" t="str">
        <f t="shared" si="3"/>
        <v>3</v>
      </c>
      <c r="O50" s="40">
        <v>2</v>
      </c>
      <c r="P50" s="42">
        <v>3206955</v>
      </c>
      <c r="Q50" s="42">
        <v>70000000</v>
      </c>
      <c r="R50" s="27">
        <v>144</v>
      </c>
      <c r="S50" s="34">
        <v>60</v>
      </c>
      <c r="T50" s="27">
        <v>69</v>
      </c>
      <c r="U50" s="47">
        <v>21.11</v>
      </c>
      <c r="V50" s="47">
        <v>14.68</v>
      </c>
      <c r="W50" s="27">
        <v>136.6</v>
      </c>
      <c r="X50" s="27">
        <v>0.72</v>
      </c>
      <c r="Y50" s="27">
        <v>95</v>
      </c>
      <c r="Z50">
        <v>97222</v>
      </c>
      <c r="AA50">
        <f t="shared" si="2"/>
        <v>1.3888857142857142E-3</v>
      </c>
    </row>
    <row r="51" spans="1:27" x14ac:dyDescent="0.25">
      <c r="A51" s="27" t="s">
        <v>55</v>
      </c>
      <c r="B51" s="32">
        <v>2</v>
      </c>
      <c r="C51" t="str">
        <f t="shared" si="4"/>
        <v>3</v>
      </c>
      <c r="D51" s="34" t="str">
        <f t="shared" si="5"/>
        <v>2</v>
      </c>
      <c r="E51" s="27" t="str">
        <f t="shared" si="6"/>
        <v>2</v>
      </c>
      <c r="F51" t="str">
        <f t="shared" si="1"/>
        <v>5</v>
      </c>
      <c r="G51" s="47" t="str">
        <f t="shared" si="7"/>
        <v>3</v>
      </c>
      <c r="H51" s="47" t="str">
        <f t="shared" si="8"/>
        <v>3</v>
      </c>
      <c r="I51" s="27" t="str">
        <f t="shared" si="9"/>
        <v>2</v>
      </c>
      <c r="J51" s="27" t="str">
        <f t="shared" si="10"/>
        <v>2</v>
      </c>
      <c r="K51" s="27" t="str">
        <f t="shared" si="11"/>
        <v>2</v>
      </c>
      <c r="L51" s="32">
        <v>1</v>
      </c>
      <c r="M51" s="32">
        <v>1</v>
      </c>
      <c r="N51" s="28" t="str">
        <f t="shared" si="3"/>
        <v>1</v>
      </c>
      <c r="O51" s="40">
        <v>2</v>
      </c>
      <c r="P51" s="42">
        <v>1112699</v>
      </c>
      <c r="Q51" s="42">
        <v>6927300</v>
      </c>
      <c r="R51" s="27">
        <v>117</v>
      </c>
      <c r="S51" s="34">
        <v>59</v>
      </c>
      <c r="T51" s="27">
        <v>77</v>
      </c>
      <c r="U51" s="47">
        <f>AVERAGE(U45:U50)</f>
        <v>16.3</v>
      </c>
      <c r="V51" s="47"/>
      <c r="W51" s="27">
        <v>64</v>
      </c>
      <c r="X51" s="27">
        <v>1</v>
      </c>
      <c r="Y51" s="27">
        <v>96</v>
      </c>
      <c r="Z51">
        <v>-25000</v>
      </c>
      <c r="AA51">
        <f t="shared" si="2"/>
        <v>-3.6089096762086238E-3</v>
      </c>
    </row>
    <row r="52" spans="1:27" x14ac:dyDescent="0.25">
      <c r="A52" s="27" t="s">
        <v>56</v>
      </c>
      <c r="B52" s="32">
        <v>1</v>
      </c>
      <c r="C52" t="str">
        <f t="shared" si="4"/>
        <v>2</v>
      </c>
      <c r="D52" s="34" t="str">
        <f t="shared" si="5"/>
        <v>3</v>
      </c>
      <c r="E52" s="27" t="str">
        <f t="shared" si="6"/>
        <v>2</v>
      </c>
      <c r="F52" t="str">
        <f t="shared" si="1"/>
        <v>1</v>
      </c>
      <c r="G52" s="47" t="str">
        <f t="shared" si="7"/>
        <v>3</v>
      </c>
      <c r="H52" s="47" t="str">
        <f t="shared" si="8"/>
        <v>1</v>
      </c>
      <c r="I52" s="27" t="str">
        <f t="shared" si="9"/>
        <v>3</v>
      </c>
      <c r="J52" s="27" t="str">
        <f t="shared" si="10"/>
        <v>1</v>
      </c>
      <c r="K52" s="27" t="str">
        <f t="shared" si="11"/>
        <v>3</v>
      </c>
      <c r="L52" s="32">
        <v>2</v>
      </c>
      <c r="M52" s="32">
        <v>2</v>
      </c>
      <c r="N52" s="28" t="str">
        <f t="shared" si="3"/>
        <v>1</v>
      </c>
      <c r="O52" s="40">
        <v>2</v>
      </c>
      <c r="P52" s="42">
        <v>11806</v>
      </c>
      <c r="Q52" s="42">
        <v>78300</v>
      </c>
      <c r="R52" s="27">
        <v>105</v>
      </c>
      <c r="S52" s="34">
        <v>80</v>
      </c>
      <c r="T52" s="27">
        <v>68</v>
      </c>
      <c r="U52" s="47">
        <v>16.62</v>
      </c>
      <c r="V52" s="47">
        <v>25.84</v>
      </c>
      <c r="W52" s="27">
        <v>2.5999999999999999E-2</v>
      </c>
      <c r="X52" s="27">
        <v>4.83</v>
      </c>
      <c r="Y52" s="27">
        <v>83</v>
      </c>
      <c r="Z52">
        <v>94477.33</v>
      </c>
      <c r="AA52">
        <f t="shared" si="2"/>
        <v>1.206607024265645</v>
      </c>
    </row>
    <row r="53" spans="1:27" x14ac:dyDescent="0.25">
      <c r="A53" s="27" t="s">
        <v>57</v>
      </c>
      <c r="B53" s="32">
        <v>2</v>
      </c>
      <c r="C53" t="str">
        <f t="shared" si="4"/>
        <v>3</v>
      </c>
      <c r="D53" s="34" t="str">
        <f t="shared" si="5"/>
        <v>2</v>
      </c>
      <c r="E53" s="27" t="str">
        <f t="shared" si="6"/>
        <v>2</v>
      </c>
      <c r="F53" t="str">
        <f t="shared" si="1"/>
        <v>5</v>
      </c>
      <c r="G53" s="47" t="str">
        <f t="shared" si="7"/>
        <v>3</v>
      </c>
      <c r="H53" s="47" t="str">
        <f t="shared" si="8"/>
        <v>1</v>
      </c>
      <c r="I53" s="27" t="str">
        <f t="shared" si="9"/>
        <v>2</v>
      </c>
      <c r="J53" s="27" t="str">
        <f t="shared" si="10"/>
        <v>2</v>
      </c>
      <c r="K53" s="27" t="str">
        <f t="shared" si="11"/>
        <v>2</v>
      </c>
      <c r="L53" s="32">
        <v>3</v>
      </c>
      <c r="M53" s="32">
        <v>3</v>
      </c>
      <c r="N53" s="28" t="str">
        <f t="shared" si="3"/>
        <v>3</v>
      </c>
      <c r="O53" s="40">
        <v>1</v>
      </c>
      <c r="P53" s="42">
        <v>5606827</v>
      </c>
      <c r="Q53" s="42">
        <v>129000000</v>
      </c>
      <c r="R53" s="27">
        <v>129</v>
      </c>
      <c r="S53" s="34">
        <v>62</v>
      </c>
      <c r="T53" s="27">
        <v>66</v>
      </c>
      <c r="U53" s="47">
        <v>7.63</v>
      </c>
      <c r="V53" s="47">
        <v>20.34</v>
      </c>
      <c r="W53" s="27">
        <v>66.3</v>
      </c>
      <c r="X53" s="27">
        <v>1.04</v>
      </c>
      <c r="Y53" s="27">
        <v>101</v>
      </c>
      <c r="Z53">
        <v>-300000</v>
      </c>
      <c r="AA53">
        <f t="shared" si="2"/>
        <v>-2.3255813953488372E-3</v>
      </c>
    </row>
    <row r="54" spans="1:27" x14ac:dyDescent="0.25">
      <c r="A54" s="27" t="s">
        <v>58</v>
      </c>
      <c r="B54" s="32">
        <v>2</v>
      </c>
      <c r="C54" t="str">
        <f t="shared" si="4"/>
        <v>2</v>
      </c>
      <c r="D54" s="34" t="str">
        <f t="shared" si="5"/>
        <v>2</v>
      </c>
      <c r="E54" s="27" t="str">
        <f t="shared" si="6"/>
        <v>2</v>
      </c>
      <c r="F54" t="str">
        <f t="shared" si="1"/>
        <v>3</v>
      </c>
      <c r="G54" s="47" t="str">
        <f t="shared" si="7"/>
        <v>3</v>
      </c>
      <c r="H54" s="47" t="str">
        <f t="shared" si="8"/>
        <v>3</v>
      </c>
      <c r="I54" s="27" t="str">
        <f t="shared" si="9"/>
        <v>3</v>
      </c>
      <c r="J54" s="27" t="str">
        <f t="shared" si="10"/>
        <v>1</v>
      </c>
      <c r="K54" s="27" t="str">
        <f t="shared" si="11"/>
        <v>3</v>
      </c>
      <c r="L54" s="32">
        <v>3</v>
      </c>
      <c r="M54" s="32">
        <v>2</v>
      </c>
      <c r="N54" s="28" t="str">
        <f t="shared" si="3"/>
        <v>1</v>
      </c>
      <c r="O54" s="40">
        <v>2</v>
      </c>
      <c r="P54" s="42">
        <v>864376</v>
      </c>
      <c r="Q54" s="42">
        <v>3473700</v>
      </c>
      <c r="R54" s="27">
        <v>135</v>
      </c>
      <c r="S54" s="34">
        <v>63</v>
      </c>
      <c r="T54" s="27">
        <v>71</v>
      </c>
      <c r="U54" s="47">
        <f>AVERAGE(U52:U53)</f>
        <v>12.125</v>
      </c>
      <c r="V54" s="47"/>
      <c r="W54" s="27">
        <v>19.8</v>
      </c>
      <c r="X54" s="27">
        <v>1.54</v>
      </c>
      <c r="Y54" s="27">
        <v>89</v>
      </c>
      <c r="Z54">
        <v>94477.33</v>
      </c>
      <c r="AA54">
        <f t="shared" si="2"/>
        <v>2.7197895615625991E-2</v>
      </c>
    </row>
    <row r="55" spans="1:27" x14ac:dyDescent="0.25">
      <c r="A55" s="27" t="s">
        <v>59</v>
      </c>
      <c r="B55" s="32">
        <v>1</v>
      </c>
      <c r="C55" t="str">
        <f t="shared" si="4"/>
        <v>2</v>
      </c>
      <c r="D55" s="34" t="str">
        <f t="shared" si="5"/>
        <v>2</v>
      </c>
      <c r="E55" s="27" t="str">
        <f t="shared" si="6"/>
        <v>1</v>
      </c>
      <c r="F55" t="str">
        <f t="shared" si="1"/>
        <v>4</v>
      </c>
      <c r="G55" s="47" t="str">
        <f t="shared" si="7"/>
        <v>3</v>
      </c>
      <c r="H55" s="47" t="str">
        <f t="shared" si="8"/>
        <v>3</v>
      </c>
      <c r="I55" s="27" t="str">
        <f t="shared" si="9"/>
        <v>1</v>
      </c>
      <c r="J55" s="27" t="str">
        <f t="shared" si="10"/>
        <v>1</v>
      </c>
      <c r="K55" s="27" t="str">
        <f t="shared" si="11"/>
        <v>3</v>
      </c>
      <c r="L55" s="32">
        <v>2</v>
      </c>
      <c r="M55" s="32">
        <v>2</v>
      </c>
      <c r="N55" s="28" t="str">
        <f t="shared" si="3"/>
        <v>1</v>
      </c>
      <c r="O55" s="40">
        <v>1</v>
      </c>
      <c r="P55" s="42">
        <v>13373207</v>
      </c>
      <c r="Q55" s="42">
        <v>59600000</v>
      </c>
      <c r="R55" s="27">
        <v>118</v>
      </c>
      <c r="S55" s="34">
        <v>69</v>
      </c>
      <c r="T55" s="27">
        <v>95</v>
      </c>
      <c r="U55" s="47">
        <v>11.06</v>
      </c>
      <c r="V55" s="47">
        <v>12.99</v>
      </c>
      <c r="W55" s="27">
        <v>205.6</v>
      </c>
      <c r="X55" s="27">
        <v>3.2</v>
      </c>
      <c r="Y55" s="27">
        <v>93</v>
      </c>
      <c r="Z55">
        <v>350000</v>
      </c>
      <c r="AA55">
        <f t="shared" si="2"/>
        <v>5.8724832214765103E-3</v>
      </c>
    </row>
    <row r="56" spans="1:27" x14ac:dyDescent="0.25">
      <c r="A56" s="27" t="s">
        <v>60</v>
      </c>
      <c r="B56" s="32">
        <v>2</v>
      </c>
      <c r="C56" t="str">
        <f t="shared" si="4"/>
        <v>3</v>
      </c>
      <c r="D56" s="34" t="str">
        <f t="shared" si="5"/>
        <v>3</v>
      </c>
      <c r="E56" s="27" t="str">
        <f t="shared" si="6"/>
        <v>2</v>
      </c>
      <c r="F56" t="str">
        <f t="shared" si="1"/>
        <v>5</v>
      </c>
      <c r="G56" s="47" t="str">
        <f t="shared" si="7"/>
        <v>3</v>
      </c>
      <c r="H56" s="47" t="str">
        <f t="shared" si="8"/>
        <v>3</v>
      </c>
      <c r="I56" s="27" t="str">
        <f t="shared" si="9"/>
        <v>2</v>
      </c>
      <c r="J56" s="27" t="str">
        <f t="shared" si="10"/>
        <v>2</v>
      </c>
      <c r="K56" s="27" t="str">
        <f t="shared" si="11"/>
        <v>2</v>
      </c>
      <c r="L56" s="32">
        <v>1</v>
      </c>
      <c r="M56" s="32">
        <v>2</v>
      </c>
      <c r="N56" s="28" t="str">
        <f t="shared" si="3"/>
        <v>1</v>
      </c>
      <c r="O56" s="40">
        <v>2</v>
      </c>
      <c r="P56" s="42">
        <v>1940516</v>
      </c>
      <c r="Q56" s="42">
        <v>8762027</v>
      </c>
      <c r="R56" s="27">
        <v>114</v>
      </c>
      <c r="S56" s="34">
        <v>58</v>
      </c>
      <c r="T56" s="27">
        <v>77</v>
      </c>
      <c r="U56" s="47">
        <v>14.54</v>
      </c>
      <c r="V56" s="47">
        <v>15.37</v>
      </c>
      <c r="W56" s="27">
        <v>99.9</v>
      </c>
      <c r="X56" s="27">
        <v>0.7</v>
      </c>
      <c r="Y56" s="27">
        <v>95</v>
      </c>
      <c r="Z56">
        <v>-50000</v>
      </c>
      <c r="AA56">
        <f t="shared" si="2"/>
        <v>-5.7064421280600937E-3</v>
      </c>
    </row>
    <row r="57" spans="1:27" x14ac:dyDescent="0.25">
      <c r="A57" s="27" t="s">
        <v>61</v>
      </c>
      <c r="B57" s="32">
        <v>2</v>
      </c>
      <c r="C57" t="str">
        <f t="shared" si="4"/>
        <v>2</v>
      </c>
      <c r="D57" s="34" t="str">
        <f t="shared" si="5"/>
        <v>3</v>
      </c>
      <c r="E57" s="27" t="str">
        <f t="shared" si="6"/>
        <v>3</v>
      </c>
      <c r="F57" t="str">
        <f t="shared" si="1"/>
        <v>5</v>
      </c>
      <c r="G57" s="47" t="str">
        <f t="shared" si="7"/>
        <v>2</v>
      </c>
      <c r="H57" s="47" t="str">
        <f t="shared" si="8"/>
        <v>1</v>
      </c>
      <c r="I57" s="27" t="str">
        <f t="shared" si="9"/>
        <v>1</v>
      </c>
      <c r="J57" s="27" t="str">
        <f t="shared" si="10"/>
        <v>3</v>
      </c>
      <c r="K57" s="27" t="str">
        <f t="shared" si="11"/>
        <v>2</v>
      </c>
      <c r="L57" s="32">
        <v>3</v>
      </c>
      <c r="M57" s="32">
        <v>1</v>
      </c>
      <c r="N57" s="28" t="str">
        <f t="shared" si="3"/>
        <v>3</v>
      </c>
      <c r="O57" s="40">
        <v>2</v>
      </c>
      <c r="P57" s="42">
        <v>3670739</v>
      </c>
      <c r="Q57" s="42">
        <v>110000000</v>
      </c>
      <c r="R57" s="27">
        <v>111</v>
      </c>
      <c r="S57" s="34">
        <v>91</v>
      </c>
      <c r="T57" s="27">
        <v>51</v>
      </c>
      <c r="U57" s="47">
        <v>23.21</v>
      </c>
      <c r="V57" s="47">
        <v>30.04</v>
      </c>
      <c r="W57" s="27">
        <v>367.5</v>
      </c>
      <c r="X57" s="27">
        <v>0.33</v>
      </c>
      <c r="Y57" s="27">
        <v>97</v>
      </c>
      <c r="Z57">
        <v>-650000</v>
      </c>
      <c r="AA57">
        <f t="shared" si="2"/>
        <v>-5.909090909090909E-3</v>
      </c>
    </row>
    <row r="58" spans="1:27" x14ac:dyDescent="0.25">
      <c r="A58" s="27" t="s">
        <v>62</v>
      </c>
      <c r="B58" s="32">
        <v>2</v>
      </c>
      <c r="C58" t="str">
        <f t="shared" si="4"/>
        <v>1</v>
      </c>
      <c r="D58" s="34" t="str">
        <f t="shared" si="5"/>
        <v>2</v>
      </c>
      <c r="E58" s="27" t="str">
        <f t="shared" si="6"/>
        <v>3</v>
      </c>
      <c r="F58" t="str">
        <f t="shared" si="1"/>
        <v>5</v>
      </c>
      <c r="G58" s="47" t="str">
        <f t="shared" si="7"/>
        <v>3</v>
      </c>
      <c r="H58" s="47" t="str">
        <f t="shared" si="8"/>
        <v>1</v>
      </c>
      <c r="I58" s="27" t="str">
        <f t="shared" si="9"/>
        <v>1</v>
      </c>
      <c r="J58" s="27" t="str">
        <f t="shared" si="10"/>
        <v>3</v>
      </c>
      <c r="K58" s="27" t="str">
        <f t="shared" si="11"/>
        <v>3</v>
      </c>
      <c r="L58" s="32">
        <v>3</v>
      </c>
      <c r="M58" s="32">
        <v>3</v>
      </c>
      <c r="N58" s="28" t="str">
        <f t="shared" si="3"/>
        <v>3</v>
      </c>
      <c r="O58" s="40">
        <v>2</v>
      </c>
      <c r="P58" s="42">
        <v>42993494</v>
      </c>
      <c r="Q58" s="42">
        <v>1380000000</v>
      </c>
      <c r="R58" s="27">
        <v>131</v>
      </c>
      <c r="S58" s="34">
        <v>99</v>
      </c>
      <c r="T58" s="27">
        <v>41</v>
      </c>
      <c r="U58" s="47">
        <v>8.5</v>
      </c>
      <c r="V58" s="47">
        <v>26.16</v>
      </c>
      <c r="W58" s="27">
        <v>464.1</v>
      </c>
      <c r="X58" s="27">
        <v>0.19</v>
      </c>
      <c r="Y58" s="27">
        <v>80</v>
      </c>
      <c r="Z58">
        <v>-2663434</v>
      </c>
      <c r="AA58">
        <f t="shared" si="2"/>
        <v>-1.9300246376811594E-3</v>
      </c>
    </row>
    <row r="59" spans="1:27" x14ac:dyDescent="0.25">
      <c r="A59" s="27" t="s">
        <v>63</v>
      </c>
      <c r="B59" s="32">
        <v>2</v>
      </c>
      <c r="C59" t="str">
        <f t="shared" si="4"/>
        <v>3</v>
      </c>
      <c r="D59" s="34" t="str">
        <f t="shared" si="5"/>
        <v>2</v>
      </c>
      <c r="E59" s="27" t="str">
        <f t="shared" si="6"/>
        <v>2</v>
      </c>
      <c r="F59" t="str">
        <f t="shared" si="1"/>
        <v>5</v>
      </c>
      <c r="G59" s="47" t="str">
        <f t="shared" si="7"/>
        <v>3</v>
      </c>
      <c r="H59" s="47" t="str">
        <f t="shared" si="8"/>
        <v>3</v>
      </c>
      <c r="I59" s="27" t="str">
        <f t="shared" si="9"/>
        <v>2</v>
      </c>
      <c r="J59" s="27" t="str">
        <f t="shared" si="10"/>
        <v>1</v>
      </c>
      <c r="K59" s="27" t="str">
        <f t="shared" si="11"/>
        <v>2</v>
      </c>
      <c r="L59" s="32">
        <v>3</v>
      </c>
      <c r="M59" s="32">
        <v>3</v>
      </c>
      <c r="N59" s="28" t="str">
        <f t="shared" si="3"/>
        <v>1</v>
      </c>
      <c r="O59" s="40">
        <v>2</v>
      </c>
      <c r="P59" s="42">
        <v>2791994</v>
      </c>
      <c r="Q59" s="42">
        <v>19000000</v>
      </c>
      <c r="R59" s="27">
        <v>131</v>
      </c>
      <c r="S59" s="34">
        <v>60</v>
      </c>
      <c r="T59" s="27">
        <v>78</v>
      </c>
      <c r="U59" s="47">
        <v>10.63</v>
      </c>
      <c r="V59" s="47">
        <v>15.52</v>
      </c>
      <c r="W59" s="27">
        <v>83.6</v>
      </c>
      <c r="X59" s="27">
        <v>1.29</v>
      </c>
      <c r="Y59" s="27">
        <v>95</v>
      </c>
      <c r="Z59">
        <v>-150000</v>
      </c>
      <c r="AA59">
        <f t="shared" si="2"/>
        <v>-7.8947368421052634E-3</v>
      </c>
    </row>
    <row r="60" spans="1:27" x14ac:dyDescent="0.25">
      <c r="A60" s="27" t="s">
        <v>64</v>
      </c>
      <c r="B60" s="32">
        <v>1</v>
      </c>
      <c r="C60" t="str">
        <f t="shared" si="4"/>
        <v>3</v>
      </c>
      <c r="D60" s="34" t="str">
        <f t="shared" si="5"/>
        <v>2</v>
      </c>
      <c r="E60" s="27" t="str">
        <f t="shared" si="6"/>
        <v>1</v>
      </c>
      <c r="F60" t="str">
        <f t="shared" si="1"/>
        <v>4</v>
      </c>
      <c r="G60" s="47" t="str">
        <f t="shared" si="7"/>
        <v>3</v>
      </c>
      <c r="H60" s="47" t="str">
        <f t="shared" si="8"/>
        <v>3</v>
      </c>
      <c r="I60" s="27" t="str">
        <f t="shared" si="9"/>
        <v>1</v>
      </c>
      <c r="J60" s="27" t="str">
        <f t="shared" si="10"/>
        <v>1</v>
      </c>
      <c r="K60" s="27" t="str">
        <f t="shared" si="11"/>
        <v>3</v>
      </c>
      <c r="L60" s="32">
        <v>3</v>
      </c>
      <c r="M60" s="32">
        <v>1</v>
      </c>
      <c r="N60" s="28" t="str">
        <f t="shared" si="3"/>
        <v>1</v>
      </c>
      <c r="O60" s="40">
        <v>1</v>
      </c>
      <c r="P60" s="42">
        <v>1573111</v>
      </c>
      <c r="Q60" s="42">
        <v>5458800</v>
      </c>
      <c r="R60" s="27">
        <v>144</v>
      </c>
      <c r="S60" s="34">
        <v>59</v>
      </c>
      <c r="T60" s="27">
        <v>83</v>
      </c>
      <c r="U60" s="47">
        <f>AVERAGE(U55:U59)</f>
        <v>13.587999999999999</v>
      </c>
      <c r="V60" s="47">
        <v>15.55</v>
      </c>
      <c r="W60" s="27">
        <v>113.5</v>
      </c>
      <c r="X60" s="27">
        <v>1.92</v>
      </c>
      <c r="Y60" s="27">
        <v>91</v>
      </c>
      <c r="Z60">
        <v>4999</v>
      </c>
      <c r="AA60">
        <f t="shared" si="2"/>
        <v>9.1576903348721331E-4</v>
      </c>
    </row>
    <row r="61" spans="1:27" x14ac:dyDescent="0.25">
      <c r="A61" s="24" t="s">
        <v>6</v>
      </c>
      <c r="B61" s="25">
        <v>1</v>
      </c>
      <c r="C61" t="str">
        <f t="shared" si="4"/>
        <v>1</v>
      </c>
      <c r="D61" s="34" t="str">
        <f t="shared" si="5"/>
        <v>3</v>
      </c>
      <c r="E61" s="27" t="str">
        <f t="shared" si="6"/>
        <v>1</v>
      </c>
      <c r="F61" t="str">
        <f t="shared" si="1"/>
        <v>3</v>
      </c>
      <c r="G61" s="47" t="str">
        <f t="shared" si="7"/>
        <v>3</v>
      </c>
      <c r="H61" s="47" t="str">
        <f t="shared" si="8"/>
        <v>3</v>
      </c>
      <c r="I61" s="27" t="str">
        <f t="shared" si="9"/>
        <v>2</v>
      </c>
      <c r="J61" s="27" t="str">
        <f t="shared" si="10"/>
        <v>1</v>
      </c>
      <c r="K61" s="27" t="str">
        <f t="shared" si="11"/>
        <v>3</v>
      </c>
      <c r="L61" s="32">
        <v>2</v>
      </c>
      <c r="M61" s="32">
        <v>3</v>
      </c>
      <c r="N61" s="28" t="str">
        <f t="shared" si="3"/>
        <v>1</v>
      </c>
      <c r="O61" s="38">
        <v>1</v>
      </c>
      <c r="P61" s="43">
        <v>81174677</v>
      </c>
      <c r="Q61" s="43">
        <v>330000000</v>
      </c>
      <c r="R61" s="24">
        <v>3</v>
      </c>
      <c r="S61" s="26">
        <v>103</v>
      </c>
      <c r="T61" s="27">
        <v>89</v>
      </c>
      <c r="U61" s="48">
        <v>1</v>
      </c>
      <c r="V61" s="48">
        <v>2</v>
      </c>
      <c r="W61" s="24">
        <v>36.200000000000003</v>
      </c>
      <c r="X61" s="24">
        <v>6.4</v>
      </c>
      <c r="Y61" s="27">
        <v>3</v>
      </c>
      <c r="Z61">
        <v>4774029</v>
      </c>
      <c r="AA61">
        <f t="shared" si="2"/>
        <v>1.4466754545454546E-2</v>
      </c>
    </row>
    <row r="62" spans="1:27" x14ac:dyDescent="0.25">
      <c r="A62" s="27" t="s">
        <v>65</v>
      </c>
      <c r="B62" s="32">
        <v>1</v>
      </c>
      <c r="C62" t="str">
        <f t="shared" si="4"/>
        <v>2</v>
      </c>
      <c r="D62" s="34" t="str">
        <f t="shared" si="5"/>
        <v>3</v>
      </c>
      <c r="E62" s="27" t="str">
        <f t="shared" si="6"/>
        <v>1</v>
      </c>
      <c r="F62" t="str">
        <f t="shared" si="1"/>
        <v>4</v>
      </c>
      <c r="G62" s="47" t="str">
        <f t="shared" si="7"/>
        <v>2</v>
      </c>
      <c r="H62" s="47" t="str">
        <f t="shared" si="8"/>
        <v>2</v>
      </c>
      <c r="I62" s="27" t="str">
        <f t="shared" si="9"/>
        <v>1</v>
      </c>
      <c r="J62" s="27" t="str">
        <f t="shared" si="10"/>
        <v>1</v>
      </c>
      <c r="K62" s="27" t="str">
        <f t="shared" si="11"/>
        <v>3</v>
      </c>
      <c r="L62" s="32">
        <v>2</v>
      </c>
      <c r="M62" s="32">
        <v>3</v>
      </c>
      <c r="N62" s="28" t="str">
        <f t="shared" si="3"/>
        <v>1</v>
      </c>
      <c r="O62" s="40">
        <v>1</v>
      </c>
      <c r="P62" s="42">
        <v>23514144</v>
      </c>
      <c r="Q62" s="42">
        <v>67400000</v>
      </c>
      <c r="R62" s="27">
        <v>113</v>
      </c>
      <c r="S62" s="34">
        <v>78</v>
      </c>
      <c r="T62" s="27">
        <v>92</v>
      </c>
      <c r="U62" s="47">
        <v>22.95</v>
      </c>
      <c r="V62" s="47">
        <v>17.649999999999999</v>
      </c>
      <c r="W62" s="27">
        <v>119.2</v>
      </c>
      <c r="X62" s="27">
        <v>3.9</v>
      </c>
      <c r="Y62" s="27">
        <v>82</v>
      </c>
      <c r="Z62">
        <v>400002</v>
      </c>
      <c r="AA62">
        <f t="shared" si="2"/>
        <v>5.934747774480712E-3</v>
      </c>
    </row>
    <row r="63" spans="1:27" x14ac:dyDescent="0.25">
      <c r="A63" s="27" t="s">
        <v>66</v>
      </c>
      <c r="B63" s="32">
        <v>2</v>
      </c>
      <c r="C63" t="str">
        <f t="shared" si="4"/>
        <v>1</v>
      </c>
      <c r="D63" s="34" t="str">
        <f t="shared" si="5"/>
        <v>3</v>
      </c>
      <c r="E63" s="27" t="str">
        <f t="shared" si="6"/>
        <v>2</v>
      </c>
      <c r="F63" t="str">
        <f t="shared" si="1"/>
        <v>4</v>
      </c>
      <c r="G63" s="47" t="str">
        <f t="shared" si="7"/>
        <v>1</v>
      </c>
      <c r="H63" s="47" t="str">
        <f t="shared" si="8"/>
        <v>2</v>
      </c>
      <c r="I63" s="27" t="str">
        <f t="shared" si="9"/>
        <v>3</v>
      </c>
      <c r="J63" s="27" t="str">
        <f t="shared" si="10"/>
        <v>2</v>
      </c>
      <c r="K63" s="27" t="str">
        <f t="shared" si="11"/>
        <v>3</v>
      </c>
      <c r="L63" s="32">
        <v>2</v>
      </c>
      <c r="M63" s="32">
        <v>2</v>
      </c>
      <c r="N63" s="28" t="str">
        <f t="shared" si="3"/>
        <v>2</v>
      </c>
      <c r="O63" s="40">
        <v>1</v>
      </c>
      <c r="P63" s="42">
        <v>17335186</v>
      </c>
      <c r="Q63" s="42">
        <v>144000000</v>
      </c>
      <c r="R63" s="27">
        <v>100</v>
      </c>
      <c r="S63" s="34">
        <v>100</v>
      </c>
      <c r="T63" s="27">
        <v>75</v>
      </c>
      <c r="U63" s="47">
        <v>59.22</v>
      </c>
      <c r="V63" s="47">
        <v>18.36</v>
      </c>
      <c r="W63" s="27">
        <v>8.9</v>
      </c>
      <c r="X63" s="27">
        <v>1</v>
      </c>
      <c r="Y63" s="27">
        <v>92</v>
      </c>
      <c r="Z63">
        <v>912279</v>
      </c>
      <c r="AA63">
        <f t="shared" si="2"/>
        <v>6.3352708333333334E-3</v>
      </c>
    </row>
    <row r="64" spans="1:27" x14ac:dyDescent="0.25">
      <c r="A64" s="27" t="s">
        <v>67</v>
      </c>
      <c r="B64" s="32">
        <v>2</v>
      </c>
      <c r="C64" t="str">
        <f t="shared" si="4"/>
        <v>3</v>
      </c>
      <c r="D64" s="34" t="str">
        <f t="shared" si="5"/>
        <v>3</v>
      </c>
      <c r="E64" s="27" t="str">
        <f t="shared" si="6"/>
        <v>2</v>
      </c>
      <c r="F64" t="str">
        <f t="shared" si="1"/>
        <v>4</v>
      </c>
      <c r="G64" s="47" t="str">
        <f t="shared" si="7"/>
        <v>3</v>
      </c>
      <c r="H64" s="47" t="str">
        <f t="shared" si="8"/>
        <v>1</v>
      </c>
      <c r="I64" s="27" t="str">
        <f t="shared" si="9"/>
        <v>3</v>
      </c>
      <c r="J64" s="27" t="str">
        <f t="shared" si="10"/>
        <v>2</v>
      </c>
      <c r="K64" s="27" t="str">
        <f t="shared" si="11"/>
        <v>2</v>
      </c>
      <c r="L64" s="32">
        <v>1</v>
      </c>
      <c r="M64" s="32">
        <v>1</v>
      </c>
      <c r="N64" s="28" t="str">
        <f t="shared" ref="N64:N94" si="12">IF(P64/Q64&gt;0.14,"1",IF(P64/Q64&lt;0.07,"3","2"))</f>
        <v>1</v>
      </c>
      <c r="O64" s="40">
        <v>2</v>
      </c>
      <c r="P64" s="42">
        <v>8971432</v>
      </c>
      <c r="Q64" s="42">
        <v>45000000</v>
      </c>
      <c r="R64" s="27">
        <v>116</v>
      </c>
      <c r="S64" s="34">
        <v>58</v>
      </c>
      <c r="T64" s="27">
        <v>68</v>
      </c>
      <c r="U64" s="47">
        <v>11.18</v>
      </c>
      <c r="V64" s="47">
        <v>24.44</v>
      </c>
      <c r="W64" s="27">
        <v>16.5</v>
      </c>
      <c r="X64" s="27">
        <v>0.8</v>
      </c>
      <c r="Y64" s="27">
        <v>94</v>
      </c>
      <c r="Z64">
        <v>24000</v>
      </c>
      <c r="AA64">
        <f t="shared" si="2"/>
        <v>5.3333333333333336E-4</v>
      </c>
    </row>
    <row r="65" spans="1:27" x14ac:dyDescent="0.25">
      <c r="A65" s="27" t="s">
        <v>68</v>
      </c>
      <c r="B65" s="32">
        <v>2</v>
      </c>
      <c r="C65" t="str">
        <f t="shared" si="4"/>
        <v>3</v>
      </c>
      <c r="D65" s="34" t="str">
        <f t="shared" si="5"/>
        <v>2</v>
      </c>
      <c r="E65" s="27" t="str">
        <f t="shared" si="6"/>
        <v>2</v>
      </c>
      <c r="F65" t="str">
        <f t="shared" si="1"/>
        <v>4</v>
      </c>
      <c r="G65" s="47" t="str">
        <f t="shared" si="7"/>
        <v>1</v>
      </c>
      <c r="H65" s="47" t="str">
        <f t="shared" si="8"/>
        <v>2</v>
      </c>
      <c r="I65" s="27" t="str">
        <f t="shared" si="9"/>
        <v>2</v>
      </c>
      <c r="J65" s="27" t="str">
        <f t="shared" si="10"/>
        <v>2</v>
      </c>
      <c r="K65" s="27" t="str">
        <f t="shared" si="11"/>
        <v>3</v>
      </c>
      <c r="L65" s="32">
        <v>1</v>
      </c>
      <c r="M65" s="32">
        <v>1</v>
      </c>
      <c r="N65" s="28" t="str">
        <f t="shared" si="12"/>
        <v>2</v>
      </c>
      <c r="O65" s="40">
        <v>1</v>
      </c>
      <c r="P65" s="42">
        <v>941168</v>
      </c>
      <c r="Q65" s="42">
        <v>9398900</v>
      </c>
      <c r="R65" s="27">
        <v>131</v>
      </c>
      <c r="S65" s="34">
        <v>61</v>
      </c>
      <c r="T65" s="27">
        <v>79</v>
      </c>
      <c r="U65" s="1">
        <f>AVERAGE(U62:U64)</f>
        <v>31.116666666666664</v>
      </c>
      <c r="V65" s="47">
        <v>17.239999999999998</v>
      </c>
      <c r="W65" s="27">
        <v>46.6</v>
      </c>
      <c r="X65" s="27">
        <v>0.64</v>
      </c>
      <c r="Y65" s="27">
        <v>90</v>
      </c>
      <c r="Z65">
        <v>10000</v>
      </c>
      <c r="AA65">
        <f t="shared" si="2"/>
        <v>1.0639542925235932E-3</v>
      </c>
    </row>
    <row r="66" spans="1:27" x14ac:dyDescent="0.25">
      <c r="A66" s="27" t="s">
        <v>69</v>
      </c>
      <c r="B66" s="32">
        <v>1</v>
      </c>
      <c r="C66" t="str">
        <f t="shared" si="4"/>
        <v>2</v>
      </c>
      <c r="D66" s="34" t="str">
        <f t="shared" si="5"/>
        <v>3</v>
      </c>
      <c r="E66" s="27" t="str">
        <f t="shared" si="6"/>
        <v>1</v>
      </c>
      <c r="F66" t="str">
        <f t="shared" si="1"/>
        <v>4</v>
      </c>
      <c r="G66" s="47" t="str">
        <f t="shared" si="7"/>
        <v>2</v>
      </c>
      <c r="H66" s="47" t="str">
        <f t="shared" si="8"/>
        <v>2</v>
      </c>
      <c r="I66" s="27" t="str">
        <f t="shared" si="9"/>
        <v>3</v>
      </c>
      <c r="J66" s="27" t="str">
        <f t="shared" si="10"/>
        <v>1</v>
      </c>
      <c r="K66" s="27" t="str">
        <f t="shared" si="11"/>
        <v>2</v>
      </c>
      <c r="L66" s="32">
        <v>1</v>
      </c>
      <c r="M66" s="32">
        <v>3</v>
      </c>
      <c r="N66" s="28" t="str">
        <f t="shared" si="12"/>
        <v>1</v>
      </c>
      <c r="O66" s="40">
        <v>2</v>
      </c>
      <c r="P66" s="42">
        <v>2466577</v>
      </c>
      <c r="Q66" s="42">
        <v>10000000</v>
      </c>
      <c r="R66" s="27">
        <v>106</v>
      </c>
      <c r="S66" s="34">
        <v>68</v>
      </c>
      <c r="T66" s="27">
        <v>95</v>
      </c>
      <c r="U66" s="47">
        <v>24.89</v>
      </c>
      <c r="V66" s="47">
        <v>17.62</v>
      </c>
      <c r="W66" s="27">
        <v>24.6</v>
      </c>
      <c r="X66" s="27">
        <v>5.19</v>
      </c>
      <c r="Y66" s="27">
        <v>96</v>
      </c>
      <c r="Z66">
        <v>94477.33</v>
      </c>
      <c r="AA66">
        <f t="shared" si="2"/>
        <v>9.4477329999999998E-3</v>
      </c>
    </row>
    <row r="67" spans="1:27" x14ac:dyDescent="0.25">
      <c r="A67" s="27" t="s">
        <v>70</v>
      </c>
      <c r="B67" s="32">
        <v>2</v>
      </c>
      <c r="C67" t="str">
        <f t="shared" si="4"/>
        <v>3</v>
      </c>
      <c r="D67" s="34" t="str">
        <f t="shared" si="5"/>
        <v>2</v>
      </c>
      <c r="E67" s="27" t="str">
        <f t="shared" si="6"/>
        <v>2</v>
      </c>
      <c r="F67" t="str">
        <f t="shared" ref="F67:F94" si="13">IF(AA67&gt;0.05,"1",IF(AA67&gt;0.03,"2",IF(AA67&gt;0.01,"3",IF(AA67&gt;0,"4","5"))))</f>
        <v>4</v>
      </c>
      <c r="G67" s="47" t="str">
        <f t="shared" si="7"/>
        <v>1</v>
      </c>
      <c r="H67" s="47" t="str">
        <f t="shared" si="8"/>
        <v>3</v>
      </c>
      <c r="I67" s="27" t="str">
        <f t="shared" si="9"/>
        <v>2</v>
      </c>
      <c r="J67" s="27" t="str">
        <f t="shared" si="10"/>
        <v>3</v>
      </c>
      <c r="K67" s="27" t="str">
        <f t="shared" si="11"/>
        <v>3</v>
      </c>
      <c r="L67" s="32">
        <v>2</v>
      </c>
      <c r="M67" s="32">
        <v>3</v>
      </c>
      <c r="N67" s="28" t="str">
        <f t="shared" si="12"/>
        <v>2</v>
      </c>
      <c r="O67" s="40">
        <v>2</v>
      </c>
      <c r="P67" s="42">
        <v>4894331</v>
      </c>
      <c r="Q67" s="42">
        <v>44000000</v>
      </c>
      <c r="R67" s="27">
        <v>118</v>
      </c>
      <c r="S67" s="34">
        <v>57</v>
      </c>
      <c r="T67" s="27">
        <v>75</v>
      </c>
      <c r="U67" s="47">
        <v>39.729999999999997</v>
      </c>
      <c r="V67" s="47">
        <v>15.99</v>
      </c>
      <c r="W67" s="27">
        <v>75.5</v>
      </c>
      <c r="X67" s="27">
        <v>0.37</v>
      </c>
      <c r="Y67" s="27">
        <v>92</v>
      </c>
      <c r="Z67">
        <v>200000</v>
      </c>
      <c r="AA67">
        <f t="shared" ref="AA67:AA94" si="14">Z67/Q67</f>
        <v>4.5454545454545452E-3</v>
      </c>
    </row>
    <row r="68" spans="1:27" x14ac:dyDescent="0.25">
      <c r="A68" s="27" t="s">
        <v>71</v>
      </c>
      <c r="B68" s="32">
        <v>2</v>
      </c>
      <c r="C68" t="str">
        <f t="shared" si="4"/>
        <v>2</v>
      </c>
      <c r="D68" s="34" t="str">
        <f t="shared" si="5"/>
        <v>3</v>
      </c>
      <c r="E68" s="27" t="str">
        <f t="shared" si="6"/>
        <v>2</v>
      </c>
      <c r="F68" t="str">
        <f t="shared" si="13"/>
        <v>5</v>
      </c>
      <c r="G68" s="47" t="str">
        <f t="shared" si="7"/>
        <v>2</v>
      </c>
      <c r="H68" s="47" t="str">
        <f t="shared" si="8"/>
        <v>1</v>
      </c>
      <c r="I68" s="27" t="str">
        <f t="shared" si="9"/>
        <v>3</v>
      </c>
      <c r="J68" s="27" t="str">
        <f t="shared" si="10"/>
        <v>2</v>
      </c>
      <c r="K68" s="27" t="str">
        <f t="shared" si="11"/>
        <v>3</v>
      </c>
      <c r="L68" s="32">
        <v>3</v>
      </c>
      <c r="M68" s="32">
        <v>1</v>
      </c>
      <c r="N68" s="28" t="str">
        <f t="shared" si="12"/>
        <v>3</v>
      </c>
      <c r="O68" s="40">
        <v>2</v>
      </c>
      <c r="P68" s="42">
        <v>1304442</v>
      </c>
      <c r="Q68" s="42">
        <v>19000000</v>
      </c>
      <c r="R68" s="27">
        <v>107</v>
      </c>
      <c r="S68" s="34">
        <v>83</v>
      </c>
      <c r="T68" s="27">
        <v>69</v>
      </c>
      <c r="U68" s="47">
        <v>23.43</v>
      </c>
      <c r="V68" s="47">
        <v>29.24</v>
      </c>
      <c r="W68" s="27">
        <v>7</v>
      </c>
      <c r="X68" s="27">
        <v>0.91</v>
      </c>
      <c r="Y68" s="27">
        <v>90</v>
      </c>
      <c r="Z68">
        <v>-100000</v>
      </c>
      <c r="AA68">
        <f t="shared" si="14"/>
        <v>-5.263157894736842E-3</v>
      </c>
    </row>
    <row r="69" spans="1:27" x14ac:dyDescent="0.25">
      <c r="A69" s="27" t="s">
        <v>72</v>
      </c>
      <c r="B69" s="32">
        <v>2</v>
      </c>
      <c r="C69" t="str">
        <f t="shared" si="4"/>
        <v>3</v>
      </c>
      <c r="D69" s="34" t="str">
        <f t="shared" si="5"/>
        <v>3</v>
      </c>
      <c r="E69" s="27" t="str">
        <f t="shared" si="6"/>
        <v>2</v>
      </c>
      <c r="F69" t="str">
        <f t="shared" si="13"/>
        <v>5</v>
      </c>
      <c r="G69" s="47" t="str">
        <f t="shared" si="7"/>
        <v>1</v>
      </c>
      <c r="H69" s="47" t="str">
        <f t="shared" si="8"/>
        <v>3</v>
      </c>
      <c r="I69" s="27" t="str">
        <f t="shared" si="9"/>
        <v>2</v>
      </c>
      <c r="J69" s="27" t="str">
        <f t="shared" si="10"/>
        <v>2</v>
      </c>
      <c r="K69" s="27" t="str">
        <f t="shared" si="11"/>
        <v>2</v>
      </c>
      <c r="L69" s="32">
        <v>2</v>
      </c>
      <c r="M69" s="32">
        <v>2</v>
      </c>
      <c r="N69" s="28" t="str">
        <f t="shared" si="12"/>
        <v>2</v>
      </c>
      <c r="O69" s="40">
        <v>2</v>
      </c>
      <c r="P69" s="42">
        <v>373105</v>
      </c>
      <c r="Q69" s="27">
        <f>1825226+1972258</f>
        <v>3797484</v>
      </c>
      <c r="R69" s="27">
        <v>104</v>
      </c>
      <c r="S69" s="34">
        <v>56</v>
      </c>
      <c r="T69" s="27">
        <v>72</v>
      </c>
      <c r="U69" s="47">
        <f>AVERAGE(U66:U68)</f>
        <v>29.350000000000005</v>
      </c>
      <c r="V69" s="47"/>
      <c r="W69" s="27">
        <v>64.3</v>
      </c>
      <c r="X69" s="27">
        <v>0.59499999999999997</v>
      </c>
      <c r="Y69" s="27">
        <v>94</v>
      </c>
      <c r="Z69">
        <v>-2506</v>
      </c>
      <c r="AA69">
        <f t="shared" si="14"/>
        <v>-6.5991061450160161E-4</v>
      </c>
    </row>
    <row r="70" spans="1:27" x14ac:dyDescent="0.25">
      <c r="A70" s="27" t="s">
        <v>73</v>
      </c>
      <c r="B70" s="32">
        <v>2</v>
      </c>
      <c r="C70" t="str">
        <f t="shared" si="4"/>
        <v>1</v>
      </c>
      <c r="D70" s="34" t="str">
        <f t="shared" si="5"/>
        <v>3</v>
      </c>
      <c r="E70" s="27" t="str">
        <f t="shared" si="6"/>
        <v>2</v>
      </c>
      <c r="F70" t="str">
        <f t="shared" si="13"/>
        <v>5</v>
      </c>
      <c r="G70" s="47" t="str">
        <f t="shared" si="7"/>
        <v>3</v>
      </c>
      <c r="H70" s="47" t="str">
        <f t="shared" si="8"/>
        <v>1</v>
      </c>
      <c r="I70" s="27" t="str">
        <f t="shared" si="9"/>
        <v>2</v>
      </c>
      <c r="J70" s="27" t="str">
        <f t="shared" si="10"/>
        <v>3</v>
      </c>
      <c r="K70" s="27" t="str">
        <f t="shared" si="11"/>
        <v>3</v>
      </c>
      <c r="L70" s="32">
        <v>3</v>
      </c>
      <c r="M70" s="32">
        <v>1</v>
      </c>
      <c r="N70" s="28" t="str">
        <f t="shared" si="12"/>
        <v>2</v>
      </c>
      <c r="O70" s="40">
        <v>1</v>
      </c>
      <c r="P70" s="42">
        <v>7123093</v>
      </c>
      <c r="Q70" s="42">
        <v>84000000</v>
      </c>
      <c r="R70" s="27">
        <v>109</v>
      </c>
      <c r="S70" s="34">
        <v>96</v>
      </c>
      <c r="T70" s="27">
        <v>72</v>
      </c>
      <c r="U70" s="47">
        <v>19.39</v>
      </c>
      <c r="V70" s="47">
        <v>24.74</v>
      </c>
      <c r="W70" s="27">
        <v>49.6</v>
      </c>
      <c r="X70" s="27">
        <v>0.23</v>
      </c>
      <c r="Y70" s="27">
        <v>79</v>
      </c>
      <c r="Z70">
        <v>-274998</v>
      </c>
      <c r="AA70">
        <f t="shared" si="14"/>
        <v>-3.2737857142857143E-3</v>
      </c>
    </row>
    <row r="71" spans="1:27" x14ac:dyDescent="0.25">
      <c r="A71" s="27" t="s">
        <v>74</v>
      </c>
      <c r="B71" s="32">
        <v>2</v>
      </c>
      <c r="C71" t="str">
        <f t="shared" si="4"/>
        <v>3</v>
      </c>
      <c r="D71" s="34" t="str">
        <f t="shared" si="5"/>
        <v>3</v>
      </c>
      <c r="E71" s="27" t="str">
        <f t="shared" si="6"/>
        <v>2</v>
      </c>
      <c r="F71" t="str">
        <f t="shared" si="13"/>
        <v>5</v>
      </c>
      <c r="G71" s="47" t="str">
        <f t="shared" si="7"/>
        <v>3</v>
      </c>
      <c r="H71" s="47" t="str">
        <f t="shared" si="8"/>
        <v>1</v>
      </c>
      <c r="I71" s="27" t="str">
        <f t="shared" si="9"/>
        <v>2</v>
      </c>
      <c r="J71" s="27" t="str">
        <f t="shared" si="10"/>
        <v>2</v>
      </c>
      <c r="K71" s="27" t="str">
        <f t="shared" si="11"/>
        <v>2</v>
      </c>
      <c r="L71" s="32">
        <v>3</v>
      </c>
      <c r="M71" s="32">
        <v>1</v>
      </c>
      <c r="N71" s="28" t="str">
        <f t="shared" si="12"/>
        <v>3</v>
      </c>
      <c r="O71" s="40">
        <v>2</v>
      </c>
      <c r="P71" s="42">
        <v>843760</v>
      </c>
      <c r="Q71" s="42">
        <v>18000000</v>
      </c>
      <c r="R71" s="27">
        <v>110</v>
      </c>
      <c r="S71" s="34">
        <v>56</v>
      </c>
      <c r="T71" s="27">
        <v>62</v>
      </c>
      <c r="U71" s="47">
        <v>9.31</v>
      </c>
      <c r="V71" s="47">
        <v>27.39</v>
      </c>
      <c r="W71" s="27">
        <v>71</v>
      </c>
      <c r="X71" s="27">
        <v>0.56000000000000005</v>
      </c>
      <c r="Y71" s="27">
        <v>94</v>
      </c>
      <c r="Z71">
        <v>-30776</v>
      </c>
      <c r="AA71">
        <f t="shared" si="14"/>
        <v>-1.7097777777777777E-3</v>
      </c>
    </row>
    <row r="72" spans="1:27" x14ac:dyDescent="0.25">
      <c r="A72" s="27" t="s">
        <v>75</v>
      </c>
      <c r="B72" s="32">
        <v>2</v>
      </c>
      <c r="C72" t="str">
        <f t="shared" ref="C72:C94" si="15">IF(S72&gt;91,"1",IF(S72&lt;63,"3","2"))</f>
        <v>2</v>
      </c>
      <c r="D72" s="34" t="str">
        <f t="shared" ref="D72:D94" si="16">IF(R72&gt;145,"1",IF(R72&lt;117,"3","2"))</f>
        <v>3</v>
      </c>
      <c r="E72" s="27" t="str">
        <f t="shared" ref="E72:E94" si="17">IF(T72&gt;80,"1",IF(T72&lt;60,"3","2"))</f>
        <v>2</v>
      </c>
      <c r="F72" t="str">
        <f t="shared" si="13"/>
        <v>4</v>
      </c>
      <c r="G72" s="47" t="str">
        <f t="shared" ref="G72:G94" si="18">IF(U72&gt;27,"1",IF(U72&gt;20,"2","3"))</f>
        <v>3</v>
      </c>
      <c r="H72" s="47" t="str">
        <f t="shared" ref="H72:H94" si="19">IF(V72&gt;19,"1",IF(V72&gt;16,"2","3"))</f>
        <v>3</v>
      </c>
      <c r="I72" s="27" t="str">
        <f t="shared" ref="I72:I94" si="20">IF(W72&gt;100,"1",IF(W72&gt;25,"2","3"))</f>
        <v>1</v>
      </c>
      <c r="J72" s="27" t="str">
        <f t="shared" ref="J72:J94" si="21">IF(X72&gt;1.19,"1",IF(X72&gt;0.3856,"2",IF(X72&gt;0.0976,"3","4")))</f>
        <v>2</v>
      </c>
      <c r="K72" s="27" t="str">
        <f t="shared" ref="K72:K94" si="22">IF(Y72&gt;103,"1",IF(Y72&gt;93,"2","3"))</f>
        <v>3</v>
      </c>
      <c r="L72" s="32">
        <v>2</v>
      </c>
      <c r="M72" s="32">
        <v>1</v>
      </c>
      <c r="N72" s="28" t="str">
        <f t="shared" si="12"/>
        <v>2</v>
      </c>
      <c r="O72" s="40">
        <v>2</v>
      </c>
      <c r="P72" s="42">
        <v>790767</v>
      </c>
      <c r="Q72" s="42">
        <v>10000000</v>
      </c>
      <c r="R72" s="27">
        <v>113</v>
      </c>
      <c r="S72" s="34">
        <v>64</v>
      </c>
      <c r="T72" s="27">
        <v>66</v>
      </c>
      <c r="U72" s="47">
        <f>AVERAGE(U70:U71)</f>
        <v>14.350000000000001</v>
      </c>
      <c r="V72" s="47"/>
      <c r="W72" s="27">
        <v>122.7</v>
      </c>
      <c r="X72" s="27">
        <v>0.42</v>
      </c>
      <c r="Y72" s="27">
        <v>93</v>
      </c>
      <c r="Z72">
        <v>94477.33</v>
      </c>
      <c r="AA72">
        <f t="shared" si="14"/>
        <v>9.4477329999999998E-3</v>
      </c>
    </row>
    <row r="73" spans="1:27" x14ac:dyDescent="0.25">
      <c r="A73" s="27" t="s">
        <v>76</v>
      </c>
      <c r="B73" s="32">
        <v>2</v>
      </c>
      <c r="C73" t="str">
        <f t="shared" si="15"/>
        <v>2</v>
      </c>
      <c r="D73" s="34" t="str">
        <f t="shared" si="16"/>
        <v>2</v>
      </c>
      <c r="E73" s="27" t="str">
        <f t="shared" si="17"/>
        <v>3</v>
      </c>
      <c r="F73" t="str">
        <f t="shared" si="13"/>
        <v>5</v>
      </c>
      <c r="G73" s="47" t="str">
        <f t="shared" si="18"/>
        <v>3</v>
      </c>
      <c r="H73" s="47" t="str">
        <f t="shared" si="19"/>
        <v>1</v>
      </c>
      <c r="I73" s="27" t="str">
        <f t="shared" si="20"/>
        <v>3</v>
      </c>
      <c r="J73" s="27" t="str">
        <f t="shared" si="21"/>
        <v>2</v>
      </c>
      <c r="K73" s="27" t="str">
        <f t="shared" si="22"/>
        <v>3</v>
      </c>
      <c r="L73" s="32">
        <v>2</v>
      </c>
      <c r="M73" s="32">
        <v>2</v>
      </c>
      <c r="N73" s="28" t="str">
        <f t="shared" si="12"/>
        <v>1</v>
      </c>
      <c r="O73" s="40">
        <v>2</v>
      </c>
      <c r="P73" s="42">
        <v>462855</v>
      </c>
      <c r="Q73" s="42">
        <v>3278300</v>
      </c>
      <c r="R73" s="27">
        <v>125</v>
      </c>
      <c r="S73" s="34">
        <v>65</v>
      </c>
      <c r="T73" s="27">
        <v>53</v>
      </c>
      <c r="U73" s="47">
        <v>19.62</v>
      </c>
      <c r="V73" s="47">
        <v>31.09</v>
      </c>
      <c r="W73" s="27">
        <v>2.1</v>
      </c>
      <c r="X73" s="27">
        <v>0.4</v>
      </c>
      <c r="Y73" s="27">
        <v>92</v>
      </c>
      <c r="Z73">
        <v>-15001</v>
      </c>
      <c r="AA73">
        <f t="shared" si="14"/>
        <v>-4.5758472378976912E-3</v>
      </c>
    </row>
    <row r="74" spans="1:27" x14ac:dyDescent="0.25">
      <c r="A74" s="27" t="s">
        <v>77</v>
      </c>
      <c r="B74" s="32">
        <v>2</v>
      </c>
      <c r="C74" t="str">
        <f t="shared" si="15"/>
        <v>3</v>
      </c>
      <c r="D74" s="34" t="str">
        <f t="shared" si="16"/>
        <v>3</v>
      </c>
      <c r="E74" s="27" t="str">
        <f t="shared" si="17"/>
        <v>1</v>
      </c>
      <c r="F74" t="str">
        <f t="shared" si="13"/>
        <v>5</v>
      </c>
      <c r="G74" s="47" t="str">
        <f t="shared" si="18"/>
        <v>3</v>
      </c>
      <c r="H74" s="47" t="str">
        <f t="shared" si="19"/>
        <v>1</v>
      </c>
      <c r="I74" s="27" t="str">
        <f t="shared" si="20"/>
        <v>1</v>
      </c>
      <c r="J74" s="27" t="str">
        <f t="shared" si="21"/>
        <v>2</v>
      </c>
      <c r="K74" s="27" t="str">
        <f t="shared" si="22"/>
        <v>2</v>
      </c>
      <c r="L74" s="32">
        <v>2</v>
      </c>
      <c r="M74" s="32">
        <v>1</v>
      </c>
      <c r="N74" s="28" t="str">
        <f t="shared" si="12"/>
        <v>1</v>
      </c>
      <c r="O74" s="40">
        <v>1</v>
      </c>
      <c r="P74" s="42">
        <v>1084600</v>
      </c>
      <c r="Q74" s="42">
        <v>6825400</v>
      </c>
      <c r="R74" s="27">
        <v>106</v>
      </c>
      <c r="S74" s="34">
        <v>56</v>
      </c>
      <c r="T74" s="27">
        <v>86</v>
      </c>
      <c r="U74" s="47">
        <v>19.62</v>
      </c>
      <c r="V74" s="47">
        <v>25.07</v>
      </c>
      <c r="W74" s="27">
        <v>667.2</v>
      </c>
      <c r="X74" s="27">
        <v>0.49</v>
      </c>
      <c r="Y74" s="27">
        <v>94</v>
      </c>
      <c r="Z74">
        <v>-150060</v>
      </c>
      <c r="AA74">
        <f t="shared" si="14"/>
        <v>-2.1985524657895508E-2</v>
      </c>
    </row>
    <row r="75" spans="1:27" x14ac:dyDescent="0.25">
      <c r="A75" s="27" t="s">
        <v>78</v>
      </c>
      <c r="B75" s="32">
        <v>1</v>
      </c>
      <c r="C75" t="str">
        <f t="shared" si="15"/>
        <v>3</v>
      </c>
      <c r="D75" s="34" t="str">
        <f t="shared" si="16"/>
        <v>3</v>
      </c>
      <c r="E75" s="27" t="str">
        <f t="shared" si="17"/>
        <v>1</v>
      </c>
      <c r="F75" t="str">
        <f t="shared" si="13"/>
        <v>3</v>
      </c>
      <c r="G75" s="47" t="str">
        <f t="shared" si="18"/>
        <v>1</v>
      </c>
      <c r="H75" s="47" t="str">
        <f t="shared" si="19"/>
        <v>2</v>
      </c>
      <c r="I75" s="27" t="str">
        <f t="shared" si="20"/>
        <v>1</v>
      </c>
      <c r="J75" s="27" t="str">
        <f t="shared" si="21"/>
        <v>1</v>
      </c>
      <c r="K75" s="27" t="str">
        <f t="shared" si="22"/>
        <v>3</v>
      </c>
      <c r="L75" s="32">
        <v>2</v>
      </c>
      <c r="M75" s="32">
        <v>1</v>
      </c>
      <c r="N75" s="28" t="str">
        <f t="shared" si="12"/>
        <v>1</v>
      </c>
      <c r="O75" s="40">
        <v>1</v>
      </c>
      <c r="P75" s="42">
        <v>3640052</v>
      </c>
      <c r="Q75" s="42">
        <v>12000000</v>
      </c>
      <c r="R75" s="27">
        <v>107</v>
      </c>
      <c r="S75" s="34">
        <v>49</v>
      </c>
      <c r="T75" s="27">
        <v>93</v>
      </c>
      <c r="U75" s="47">
        <v>27.34</v>
      </c>
      <c r="V75" s="47">
        <v>17.03</v>
      </c>
      <c r="W75" s="27">
        <v>382.7</v>
      </c>
      <c r="X75" s="27">
        <v>4.46</v>
      </c>
      <c r="Y75" s="27">
        <v>85</v>
      </c>
      <c r="Z75">
        <v>240000</v>
      </c>
      <c r="AA75">
        <f t="shared" si="14"/>
        <v>0.02</v>
      </c>
    </row>
    <row r="76" spans="1:27" x14ac:dyDescent="0.25">
      <c r="A76" s="27" t="s">
        <v>79</v>
      </c>
      <c r="B76" s="32">
        <v>1</v>
      </c>
      <c r="C76" t="str">
        <f t="shared" si="15"/>
        <v>3</v>
      </c>
      <c r="D76" s="34" t="str">
        <f t="shared" si="16"/>
        <v>3</v>
      </c>
      <c r="E76" s="27" t="str">
        <f t="shared" si="17"/>
        <v>1</v>
      </c>
      <c r="F76" t="str">
        <f t="shared" si="13"/>
        <v>1</v>
      </c>
      <c r="G76" s="47" t="str">
        <f t="shared" si="18"/>
        <v>3</v>
      </c>
      <c r="H76" s="47" t="str">
        <f t="shared" si="19"/>
        <v>3</v>
      </c>
      <c r="I76" s="27" t="str">
        <f t="shared" si="20"/>
        <v>1</v>
      </c>
      <c r="J76" s="27" t="str">
        <f t="shared" si="21"/>
        <v>1</v>
      </c>
      <c r="K76" s="27" t="str">
        <f t="shared" si="22"/>
        <v>2</v>
      </c>
      <c r="L76" s="32">
        <v>3</v>
      </c>
      <c r="M76" s="32">
        <v>1</v>
      </c>
      <c r="N76" s="28" t="str">
        <f t="shared" si="12"/>
        <v>1</v>
      </c>
      <c r="O76" s="40">
        <v>2</v>
      </c>
      <c r="P76" s="42">
        <v>38794</v>
      </c>
      <c r="Q76" s="42">
        <v>72589</v>
      </c>
      <c r="R76" s="27">
        <v>111</v>
      </c>
      <c r="S76" s="34">
        <v>57</v>
      </c>
      <c r="T76" s="27">
        <v>95</v>
      </c>
      <c r="U76" s="47">
        <v>19.62</v>
      </c>
      <c r="V76" s="47"/>
      <c r="W76" s="27">
        <v>164.4</v>
      </c>
      <c r="X76" s="27">
        <v>4.2</v>
      </c>
      <c r="Y76" s="27">
        <v>94</v>
      </c>
      <c r="Z76">
        <v>94477.33</v>
      </c>
      <c r="AA76">
        <f t="shared" si="14"/>
        <v>1.3015378363112868</v>
      </c>
    </row>
    <row r="77" spans="1:27" x14ac:dyDescent="0.25">
      <c r="A77" s="27" t="s">
        <v>80</v>
      </c>
      <c r="B77" s="32">
        <v>2</v>
      </c>
      <c r="C77" t="str">
        <f t="shared" si="15"/>
        <v>3</v>
      </c>
      <c r="D77" s="34" t="str">
        <f t="shared" si="16"/>
        <v>3</v>
      </c>
      <c r="E77" s="27" t="str">
        <f t="shared" si="17"/>
        <v>2</v>
      </c>
      <c r="F77" t="str">
        <f t="shared" si="13"/>
        <v>5</v>
      </c>
      <c r="G77" s="47" t="str">
        <f t="shared" si="18"/>
        <v>2</v>
      </c>
      <c r="H77" s="47" t="str">
        <f t="shared" si="19"/>
        <v>1</v>
      </c>
      <c r="I77" s="27" t="str">
        <f t="shared" si="20"/>
        <v>1</v>
      </c>
      <c r="J77" s="27" t="str">
        <f t="shared" si="21"/>
        <v>2</v>
      </c>
      <c r="K77" s="27" t="str">
        <f t="shared" si="22"/>
        <v>3</v>
      </c>
      <c r="L77" s="32">
        <v>2</v>
      </c>
      <c r="M77" s="32">
        <v>1</v>
      </c>
      <c r="N77" s="28" t="str">
        <f t="shared" si="12"/>
        <v>1</v>
      </c>
      <c r="O77" s="40">
        <v>2</v>
      </c>
      <c r="P77" s="42">
        <v>422004</v>
      </c>
      <c r="Q77" s="42">
        <v>2963200</v>
      </c>
      <c r="R77" s="27">
        <v>105</v>
      </c>
      <c r="S77" s="34">
        <v>57</v>
      </c>
      <c r="T77" s="27">
        <v>71</v>
      </c>
      <c r="U77" s="47">
        <v>25.44</v>
      </c>
      <c r="V77" s="47">
        <v>20.83</v>
      </c>
      <c r="W77" s="27">
        <v>104.1</v>
      </c>
      <c r="X77" s="27">
        <v>0.43</v>
      </c>
      <c r="Y77" s="27">
        <v>93</v>
      </c>
      <c r="Z77">
        <v>-24989</v>
      </c>
      <c r="AA77">
        <f t="shared" si="14"/>
        <v>-8.4331128509719227E-3</v>
      </c>
    </row>
    <row r="78" spans="1:27" x14ac:dyDescent="0.25">
      <c r="A78" s="27" t="s">
        <v>81</v>
      </c>
      <c r="B78" s="32">
        <v>2</v>
      </c>
      <c r="C78" t="str">
        <f t="shared" si="15"/>
        <v>3</v>
      </c>
      <c r="D78" s="34" t="str">
        <f t="shared" si="16"/>
        <v>2</v>
      </c>
      <c r="E78" s="27" t="str">
        <f t="shared" si="17"/>
        <v>2</v>
      </c>
      <c r="F78" t="str">
        <f t="shared" si="13"/>
        <v>5</v>
      </c>
      <c r="G78" s="47" t="str">
        <f t="shared" si="18"/>
        <v>3</v>
      </c>
      <c r="H78" s="47" t="str">
        <f t="shared" si="19"/>
        <v>3</v>
      </c>
      <c r="I78" s="27" t="str">
        <f t="shared" si="20"/>
        <v>1</v>
      </c>
      <c r="J78" s="27" t="str">
        <f t="shared" si="21"/>
        <v>2</v>
      </c>
      <c r="K78" s="27" t="str">
        <f t="shared" si="22"/>
        <v>3</v>
      </c>
      <c r="L78" s="32">
        <v>2</v>
      </c>
      <c r="M78" s="32">
        <v>1</v>
      </c>
      <c r="N78" s="28" t="str">
        <f t="shared" si="12"/>
        <v>2</v>
      </c>
      <c r="O78" s="40">
        <v>2</v>
      </c>
      <c r="P78" s="42">
        <v>507994</v>
      </c>
      <c r="Q78" s="42">
        <v>4041065</v>
      </c>
      <c r="R78" s="27">
        <v>120</v>
      </c>
      <c r="S78" s="34">
        <v>55</v>
      </c>
      <c r="T78" s="27">
        <v>67</v>
      </c>
      <c r="U78" s="47">
        <v>16.21</v>
      </c>
      <c r="V78" s="47">
        <v>15.89</v>
      </c>
      <c r="W78" s="27">
        <v>122.8</v>
      </c>
      <c r="X78" s="27">
        <v>1.0900000000000001</v>
      </c>
      <c r="Y78" s="27">
        <v>93</v>
      </c>
      <c r="Z78">
        <v>-14318</v>
      </c>
      <c r="AA78">
        <f t="shared" si="14"/>
        <v>-3.5431253889754311E-3</v>
      </c>
    </row>
    <row r="79" spans="1:27" x14ac:dyDescent="0.25">
      <c r="A79" s="27" t="s">
        <v>82</v>
      </c>
      <c r="B79" s="32">
        <v>3</v>
      </c>
      <c r="C79" t="str">
        <f t="shared" si="15"/>
        <v>2</v>
      </c>
      <c r="D79" s="34" t="str">
        <f t="shared" si="16"/>
        <v>2</v>
      </c>
      <c r="E79" s="27" t="str">
        <f t="shared" si="17"/>
        <v>3</v>
      </c>
      <c r="F79" t="str">
        <f t="shared" si="13"/>
        <v>5</v>
      </c>
      <c r="G79" s="47" t="str">
        <f t="shared" si="18"/>
        <v>3</v>
      </c>
      <c r="H79" s="47" t="str">
        <f t="shared" si="19"/>
        <v>1</v>
      </c>
      <c r="I79" s="27" t="str">
        <f t="shared" si="20"/>
        <v>2</v>
      </c>
      <c r="J79" s="27" t="str">
        <f t="shared" si="21"/>
        <v>3</v>
      </c>
      <c r="K79" s="27" t="str">
        <f t="shared" si="22"/>
        <v>2</v>
      </c>
      <c r="L79" s="32">
        <v>3</v>
      </c>
      <c r="M79" s="32">
        <v>1</v>
      </c>
      <c r="N79" s="28" t="str">
        <f t="shared" si="12"/>
        <v>3</v>
      </c>
      <c r="O79" s="40">
        <v>1</v>
      </c>
      <c r="P79" s="42">
        <v>605347</v>
      </c>
      <c r="Q79" s="42">
        <v>54000000</v>
      </c>
      <c r="R79" s="27">
        <v>126</v>
      </c>
      <c r="S79" s="34">
        <v>68</v>
      </c>
      <c r="T79" s="27">
        <v>42</v>
      </c>
      <c r="U79" s="47">
        <v>10.35</v>
      </c>
      <c r="V79" s="47">
        <v>25.49</v>
      </c>
      <c r="W79" s="27">
        <v>83.3</v>
      </c>
      <c r="X79" s="27">
        <v>0.14000000000000001</v>
      </c>
      <c r="Y79" s="27">
        <v>94</v>
      </c>
      <c r="Z79">
        <v>-99998</v>
      </c>
      <c r="AA79">
        <f t="shared" si="14"/>
        <v>-1.8518148148148148E-3</v>
      </c>
    </row>
    <row r="80" spans="1:27" x14ac:dyDescent="0.25">
      <c r="A80" s="27" t="s">
        <v>83</v>
      </c>
      <c r="B80" s="32">
        <v>2</v>
      </c>
      <c r="C80" t="str">
        <f t="shared" si="15"/>
        <v>2</v>
      </c>
      <c r="D80" s="34" t="str">
        <f t="shared" si="16"/>
        <v>3</v>
      </c>
      <c r="E80" s="27" t="str">
        <f t="shared" si="17"/>
        <v>3</v>
      </c>
      <c r="F80" t="str">
        <f t="shared" si="13"/>
        <v>5</v>
      </c>
      <c r="G80" s="47" t="str">
        <f t="shared" si="18"/>
        <v>3</v>
      </c>
      <c r="H80" s="47" t="str">
        <f t="shared" si="19"/>
        <v>1</v>
      </c>
      <c r="I80" s="27" t="str">
        <f t="shared" si="20"/>
        <v>1</v>
      </c>
      <c r="J80" s="27" t="str">
        <f t="shared" si="21"/>
        <v>3</v>
      </c>
      <c r="K80" s="27" t="str">
        <f t="shared" si="22"/>
        <v>2</v>
      </c>
      <c r="L80" s="32">
        <v>3</v>
      </c>
      <c r="M80" s="32">
        <v>2</v>
      </c>
      <c r="N80" s="28" t="str">
        <f t="shared" si="12"/>
        <v>3</v>
      </c>
      <c r="O80" s="40">
        <v>1</v>
      </c>
      <c r="P80" s="42">
        <v>1949486</v>
      </c>
      <c r="Q80" s="42">
        <v>165000000</v>
      </c>
      <c r="R80" s="27">
        <v>115</v>
      </c>
      <c r="S80" s="34">
        <v>66</v>
      </c>
      <c r="T80" s="27">
        <v>48</v>
      </c>
      <c r="U80" s="47">
        <v>19.62</v>
      </c>
      <c r="V80" s="47">
        <v>26.75</v>
      </c>
      <c r="W80" s="27">
        <v>1265.2</v>
      </c>
      <c r="X80" s="27">
        <v>0.2</v>
      </c>
      <c r="Y80" s="27">
        <v>95</v>
      </c>
      <c r="Z80">
        <v>-1847503</v>
      </c>
      <c r="AA80">
        <f t="shared" si="14"/>
        <v>-1.119698787878788E-2</v>
      </c>
    </row>
    <row r="81" spans="1:27" x14ac:dyDescent="0.25">
      <c r="A81" s="27" t="s">
        <v>84</v>
      </c>
      <c r="B81" s="32">
        <v>2</v>
      </c>
      <c r="C81" t="str">
        <f t="shared" si="15"/>
        <v>3</v>
      </c>
      <c r="D81" s="34" t="str">
        <f t="shared" si="16"/>
        <v>2</v>
      </c>
      <c r="E81" s="27" t="str">
        <f t="shared" si="17"/>
        <v>2</v>
      </c>
      <c r="F81" t="str">
        <f t="shared" si="13"/>
        <v>5</v>
      </c>
      <c r="G81" s="47" t="str">
        <f t="shared" si="18"/>
        <v>3</v>
      </c>
      <c r="H81" s="47" t="str">
        <f t="shared" si="19"/>
        <v>1</v>
      </c>
      <c r="I81" s="27" t="str">
        <f t="shared" si="20"/>
        <v>1</v>
      </c>
      <c r="J81" s="27" t="str">
        <f t="shared" si="21"/>
        <v>3</v>
      </c>
      <c r="K81" s="27" t="str">
        <f t="shared" si="22"/>
        <v>3</v>
      </c>
      <c r="L81" s="32">
        <v>3</v>
      </c>
      <c r="M81" s="32">
        <v>2</v>
      </c>
      <c r="N81" s="28" t="str">
        <f t="shared" si="12"/>
        <v>3</v>
      </c>
      <c r="O81" s="40">
        <v>2</v>
      </c>
      <c r="P81" s="42">
        <v>656041</v>
      </c>
      <c r="Q81" s="42">
        <v>22000000</v>
      </c>
      <c r="R81" s="27">
        <v>129</v>
      </c>
      <c r="S81" s="34">
        <v>54</v>
      </c>
      <c r="T81" s="27">
        <v>71</v>
      </c>
      <c r="U81" s="47">
        <v>14.23</v>
      </c>
      <c r="V81" s="47">
        <v>23.68</v>
      </c>
      <c r="W81" s="27">
        <v>341.5</v>
      </c>
      <c r="X81" s="27">
        <v>0.37</v>
      </c>
      <c r="Y81" s="27">
        <v>87</v>
      </c>
      <c r="Z81">
        <v>-489932</v>
      </c>
      <c r="AA81">
        <f t="shared" si="14"/>
        <v>-2.2269636363636363E-2</v>
      </c>
    </row>
    <row r="82" spans="1:27" x14ac:dyDescent="0.25">
      <c r="A82" s="27" t="s">
        <v>85</v>
      </c>
      <c r="B82" s="32">
        <v>2</v>
      </c>
      <c r="C82" t="str">
        <f t="shared" si="15"/>
        <v>3</v>
      </c>
      <c r="D82" s="34" t="str">
        <f t="shared" si="16"/>
        <v>3</v>
      </c>
      <c r="E82" s="27" t="str">
        <f t="shared" si="17"/>
        <v>3</v>
      </c>
      <c r="F82" t="str">
        <f t="shared" si="13"/>
        <v>5</v>
      </c>
      <c r="G82" s="47" t="str">
        <f t="shared" si="18"/>
        <v>3</v>
      </c>
      <c r="H82" s="47" t="str">
        <f t="shared" si="19"/>
        <v>1</v>
      </c>
      <c r="I82" s="27" t="str">
        <f t="shared" si="20"/>
        <v>1</v>
      </c>
      <c r="J82" s="27" t="str">
        <f t="shared" si="21"/>
        <v>3</v>
      </c>
      <c r="K82" s="27" t="str">
        <f t="shared" si="22"/>
        <v>2</v>
      </c>
      <c r="L82" s="32">
        <v>3</v>
      </c>
      <c r="M82" s="32">
        <v>1</v>
      </c>
      <c r="N82" s="28" t="str">
        <f t="shared" si="12"/>
        <v>3</v>
      </c>
      <c r="O82" s="40">
        <v>2</v>
      </c>
      <c r="P82" s="42">
        <v>495373</v>
      </c>
      <c r="Q82" s="42">
        <v>102000000</v>
      </c>
      <c r="R82" s="27">
        <v>113</v>
      </c>
      <c r="S82" s="34">
        <v>55</v>
      </c>
      <c r="T82" s="27">
        <v>58</v>
      </c>
      <c r="U82" s="49">
        <v>19.62</v>
      </c>
      <c r="V82" s="47">
        <v>33.92</v>
      </c>
      <c r="W82" s="27">
        <v>102.8</v>
      </c>
      <c r="X82" s="27">
        <v>0.35</v>
      </c>
      <c r="Y82" s="27">
        <v>94</v>
      </c>
      <c r="Z82">
        <v>-275000</v>
      </c>
      <c r="AA82">
        <f t="shared" si="14"/>
        <v>-2.696078431372549E-3</v>
      </c>
    </row>
    <row r="83" spans="1:27" x14ac:dyDescent="0.25">
      <c r="A83" s="27" t="s">
        <v>86</v>
      </c>
      <c r="B83" s="32">
        <v>2</v>
      </c>
      <c r="C83" t="str">
        <f t="shared" si="15"/>
        <v>2</v>
      </c>
      <c r="D83" s="34" t="str">
        <f t="shared" si="16"/>
        <v>3</v>
      </c>
      <c r="E83" s="27" t="str">
        <f t="shared" si="17"/>
        <v>2</v>
      </c>
      <c r="F83" t="str">
        <f t="shared" si="13"/>
        <v>5</v>
      </c>
      <c r="G83" s="47" t="str">
        <f t="shared" si="18"/>
        <v>3</v>
      </c>
      <c r="H83" s="47" t="str">
        <f t="shared" si="19"/>
        <v>1</v>
      </c>
      <c r="I83" s="27" t="str">
        <f t="shared" si="20"/>
        <v>2</v>
      </c>
      <c r="J83" s="27" t="str">
        <f t="shared" si="21"/>
        <v>3</v>
      </c>
      <c r="K83" s="27" t="str">
        <f t="shared" si="22"/>
        <v>3</v>
      </c>
      <c r="L83" s="32">
        <v>3</v>
      </c>
      <c r="M83" s="32">
        <v>1</v>
      </c>
      <c r="N83" s="28" t="str">
        <f t="shared" si="12"/>
        <v>2</v>
      </c>
      <c r="O83" s="40">
        <v>2</v>
      </c>
      <c r="P83" s="42">
        <v>1029228</v>
      </c>
      <c r="Q83" s="42">
        <v>12000000</v>
      </c>
      <c r="R83" s="27">
        <v>107</v>
      </c>
      <c r="S83" s="34">
        <v>66</v>
      </c>
      <c r="T83" s="27">
        <v>69</v>
      </c>
      <c r="U83" s="47">
        <v>12.7</v>
      </c>
      <c r="V83" s="47">
        <v>23.94</v>
      </c>
      <c r="W83" s="27">
        <v>76.099999999999994</v>
      </c>
      <c r="X83" s="27">
        <v>0.33</v>
      </c>
      <c r="Y83" s="27">
        <v>83</v>
      </c>
      <c r="Z83">
        <v>-20000</v>
      </c>
      <c r="AA83">
        <f t="shared" si="14"/>
        <v>-1.6666666666666668E-3</v>
      </c>
    </row>
    <row r="84" spans="1:27" x14ac:dyDescent="0.25">
      <c r="A84" s="27" t="s">
        <v>87</v>
      </c>
      <c r="B84" s="32">
        <v>3</v>
      </c>
      <c r="C84" t="str">
        <f t="shared" si="15"/>
        <v>3</v>
      </c>
      <c r="D84" s="34" t="str">
        <f t="shared" si="16"/>
        <v>3</v>
      </c>
      <c r="E84" s="27" t="str">
        <f t="shared" si="17"/>
        <v>2</v>
      </c>
      <c r="F84" t="str">
        <f t="shared" si="13"/>
        <v>5</v>
      </c>
      <c r="G84" s="47" t="str">
        <f t="shared" si="18"/>
        <v>3</v>
      </c>
      <c r="H84" s="47" t="str">
        <f t="shared" si="19"/>
        <v>2</v>
      </c>
      <c r="I84" s="27" t="str">
        <f t="shared" si="20"/>
        <v>1</v>
      </c>
      <c r="J84" s="27" t="str">
        <f t="shared" si="21"/>
        <v>2</v>
      </c>
      <c r="K84" s="27" t="str">
        <f t="shared" si="22"/>
        <v>3</v>
      </c>
      <c r="L84" s="32">
        <v>2</v>
      </c>
      <c r="M84" s="32">
        <v>2</v>
      </c>
      <c r="N84" s="28" t="str">
        <f t="shared" si="12"/>
        <v>2</v>
      </c>
      <c r="O84" s="40">
        <v>2</v>
      </c>
      <c r="P84" s="42">
        <v>272663</v>
      </c>
      <c r="Q84" s="42">
        <v>2837700</v>
      </c>
      <c r="R84" s="27">
        <v>102</v>
      </c>
      <c r="S84" s="34">
        <v>54</v>
      </c>
      <c r="T84" s="27">
        <v>75</v>
      </c>
      <c r="U84" s="47">
        <v>1.59</v>
      </c>
      <c r="V84" s="47">
        <v>17.239999999999998</v>
      </c>
      <c r="W84" s="27">
        <v>105</v>
      </c>
      <c r="X84" s="27">
        <v>0.52</v>
      </c>
      <c r="Y84" s="27">
        <v>80</v>
      </c>
      <c r="Z84">
        <v>-40000</v>
      </c>
      <c r="AA84">
        <f t="shared" si="14"/>
        <v>-1.4095922754343307E-2</v>
      </c>
    </row>
    <row r="85" spans="1:27" x14ac:dyDescent="0.25">
      <c r="A85" s="27" t="s">
        <v>88</v>
      </c>
      <c r="B85" s="32">
        <v>2</v>
      </c>
      <c r="C85" t="str">
        <f t="shared" si="15"/>
        <v>3</v>
      </c>
      <c r="D85" s="34" t="str">
        <f t="shared" si="16"/>
        <v>3</v>
      </c>
      <c r="E85" s="27" t="str">
        <f t="shared" si="17"/>
        <v>2</v>
      </c>
      <c r="F85" t="str">
        <f t="shared" si="13"/>
        <v>4</v>
      </c>
      <c r="G85" s="47" t="str">
        <f t="shared" si="18"/>
        <v>3</v>
      </c>
      <c r="H85" s="47" t="str">
        <f t="shared" si="19"/>
        <v>1</v>
      </c>
      <c r="I85" s="27" t="str">
        <f t="shared" si="20"/>
        <v>1</v>
      </c>
      <c r="J85" s="27" t="str">
        <f t="shared" si="21"/>
        <v>2</v>
      </c>
      <c r="K85" s="27" t="str">
        <f t="shared" si="22"/>
        <v>3</v>
      </c>
      <c r="L85" s="32">
        <v>3</v>
      </c>
      <c r="M85" s="32">
        <v>1</v>
      </c>
      <c r="N85" s="28" t="str">
        <f t="shared" si="12"/>
        <v>1</v>
      </c>
      <c r="O85" s="40">
        <v>2</v>
      </c>
      <c r="P85" s="42">
        <v>1654677</v>
      </c>
      <c r="Q85" s="42">
        <v>10000000</v>
      </c>
      <c r="R85" s="27">
        <v>114</v>
      </c>
      <c r="S85" s="34">
        <v>53</v>
      </c>
      <c r="T85" s="27">
        <v>70</v>
      </c>
      <c r="U85" s="47">
        <v>13</v>
      </c>
      <c r="V85" s="47">
        <v>32.85</v>
      </c>
      <c r="W85" s="27">
        <v>115</v>
      </c>
      <c r="X85" s="27">
        <v>0.43</v>
      </c>
      <c r="Y85" s="27">
        <v>93</v>
      </c>
      <c r="Z85">
        <v>94477.33</v>
      </c>
      <c r="AA85">
        <f t="shared" si="14"/>
        <v>9.4477329999999998E-3</v>
      </c>
    </row>
    <row r="86" spans="1:27" x14ac:dyDescent="0.25">
      <c r="A86" s="27" t="s">
        <v>89</v>
      </c>
      <c r="B86" s="32">
        <v>2</v>
      </c>
      <c r="C86" t="str">
        <f t="shared" si="15"/>
        <v>3</v>
      </c>
      <c r="D86" s="34" t="str">
        <f t="shared" si="16"/>
        <v>3</v>
      </c>
      <c r="E86" s="27" t="str">
        <f t="shared" si="17"/>
        <v>2</v>
      </c>
      <c r="F86" t="str">
        <f t="shared" si="13"/>
        <v>4</v>
      </c>
      <c r="G86" s="47" t="str">
        <f t="shared" si="18"/>
        <v>2</v>
      </c>
      <c r="H86" s="47" t="str">
        <f t="shared" si="19"/>
        <v>1</v>
      </c>
      <c r="I86" s="27" t="str">
        <f t="shared" si="20"/>
        <v>2</v>
      </c>
      <c r="J86" s="27" t="str">
        <f t="shared" si="21"/>
        <v>1</v>
      </c>
      <c r="K86" s="27" t="str">
        <f t="shared" si="22"/>
        <v>3</v>
      </c>
      <c r="L86" s="32">
        <v>3</v>
      </c>
      <c r="M86" s="32">
        <v>1</v>
      </c>
      <c r="N86" s="28" t="str">
        <f t="shared" si="12"/>
        <v>1</v>
      </c>
      <c r="O86" s="40">
        <v>2</v>
      </c>
      <c r="P86" s="42">
        <v>759636</v>
      </c>
      <c r="Q86" s="42">
        <v>4314800</v>
      </c>
      <c r="R86" s="27">
        <v>113</v>
      </c>
      <c r="S86" s="34">
        <v>53</v>
      </c>
      <c r="T86" s="27">
        <v>68</v>
      </c>
      <c r="U86" s="47">
        <v>22.08</v>
      </c>
      <c r="V86" s="47">
        <v>26.49</v>
      </c>
      <c r="W86" s="27">
        <v>45</v>
      </c>
      <c r="X86" s="27">
        <v>1.23</v>
      </c>
      <c r="Y86" s="27">
        <v>80</v>
      </c>
      <c r="Z86">
        <v>31448</v>
      </c>
      <c r="AA86">
        <f t="shared" si="14"/>
        <v>7.2884027069620837E-3</v>
      </c>
    </row>
    <row r="87" spans="1:27" x14ac:dyDescent="0.25">
      <c r="A87" s="27" t="s">
        <v>90</v>
      </c>
      <c r="B87" s="32">
        <v>1</v>
      </c>
      <c r="C87" t="str">
        <f t="shared" si="15"/>
        <v>3</v>
      </c>
      <c r="D87" s="34" t="str">
        <f t="shared" si="16"/>
        <v>3</v>
      </c>
      <c r="E87" s="27" t="str">
        <f t="shared" si="17"/>
        <v>2</v>
      </c>
      <c r="F87" t="str">
        <f t="shared" si="13"/>
        <v>4</v>
      </c>
      <c r="G87" s="47" t="str">
        <f t="shared" si="18"/>
        <v>3</v>
      </c>
      <c r="H87" s="47" t="str">
        <f t="shared" si="19"/>
        <v>1</v>
      </c>
      <c r="I87" s="27" t="str">
        <f t="shared" si="20"/>
        <v>2</v>
      </c>
      <c r="J87" s="27" t="str">
        <f t="shared" si="21"/>
        <v>2</v>
      </c>
      <c r="K87" s="27" t="str">
        <f t="shared" si="22"/>
        <v>3</v>
      </c>
      <c r="L87" s="32">
        <v>2</v>
      </c>
      <c r="M87" s="32">
        <v>2</v>
      </c>
      <c r="N87" s="28" t="str">
        <f t="shared" si="12"/>
        <v>2</v>
      </c>
      <c r="O87" s="40">
        <v>1</v>
      </c>
      <c r="P87" s="42">
        <v>29368776</v>
      </c>
      <c r="Q87" s="42">
        <v>213000000</v>
      </c>
      <c r="R87" s="27">
        <v>99</v>
      </c>
      <c r="S87" s="34">
        <v>49</v>
      </c>
      <c r="T87" s="27">
        <v>64</v>
      </c>
      <c r="U87" s="47">
        <v>9.35</v>
      </c>
      <c r="V87" s="47">
        <v>20.71</v>
      </c>
      <c r="W87" s="27">
        <v>25.4</v>
      </c>
      <c r="X87" s="27">
        <v>0.68</v>
      </c>
      <c r="Y87" s="27">
        <v>82</v>
      </c>
      <c r="Z87">
        <v>30000</v>
      </c>
      <c r="AA87">
        <f t="shared" si="14"/>
        <v>1.4084507042253522E-4</v>
      </c>
    </row>
    <row r="88" spans="1:27" x14ac:dyDescent="0.25">
      <c r="A88" s="27" t="s">
        <v>91</v>
      </c>
      <c r="B88" s="32">
        <v>2</v>
      </c>
      <c r="C88" t="str">
        <f t="shared" si="15"/>
        <v>3</v>
      </c>
      <c r="D88" s="34" t="str">
        <f t="shared" si="16"/>
        <v>3</v>
      </c>
      <c r="E88" s="27" t="str">
        <f t="shared" si="17"/>
        <v>3</v>
      </c>
      <c r="F88" t="str">
        <f t="shared" si="13"/>
        <v>5</v>
      </c>
      <c r="G88" s="47" t="str">
        <f t="shared" si="18"/>
        <v>3</v>
      </c>
      <c r="H88" s="47" t="str">
        <f t="shared" si="19"/>
        <v>1</v>
      </c>
      <c r="I88" s="27" t="str">
        <f t="shared" si="20"/>
        <v>2</v>
      </c>
      <c r="J88" s="27" t="str">
        <f t="shared" si="21"/>
        <v>3</v>
      </c>
      <c r="K88" s="27" t="str">
        <f t="shared" si="22"/>
        <v>2</v>
      </c>
      <c r="L88" s="32">
        <v>3</v>
      </c>
      <c r="M88" s="32">
        <v>1</v>
      </c>
      <c r="N88" s="28" t="str">
        <f t="shared" si="12"/>
        <v>3</v>
      </c>
      <c r="O88" s="40">
        <v>1</v>
      </c>
      <c r="P88" s="42">
        <v>1162096</v>
      </c>
      <c r="Q88" s="42">
        <v>37000000</v>
      </c>
      <c r="R88" s="27">
        <v>107</v>
      </c>
      <c r="S88" s="34">
        <v>53</v>
      </c>
      <c r="T88" s="27">
        <v>58</v>
      </c>
      <c r="U88" s="47">
        <v>9.3699999999999992</v>
      </c>
      <c r="V88" s="47">
        <v>26.77</v>
      </c>
      <c r="W88" s="27">
        <v>82.7</v>
      </c>
      <c r="X88" s="27">
        <v>0.3</v>
      </c>
      <c r="Y88" s="27">
        <v>94</v>
      </c>
      <c r="Z88">
        <v>-257096</v>
      </c>
      <c r="AA88">
        <f t="shared" si="14"/>
        <v>-6.9485405405405407E-3</v>
      </c>
    </row>
    <row r="89" spans="1:27" x14ac:dyDescent="0.25">
      <c r="A89" s="27" t="s">
        <v>92</v>
      </c>
      <c r="B89" s="32">
        <v>2</v>
      </c>
      <c r="C89" t="str">
        <f>IF(S89&gt;91,"1",IF(S89&lt;63,"3","2"))</f>
        <v>3</v>
      </c>
      <c r="D89" s="34" t="str">
        <f t="shared" si="16"/>
        <v>3</v>
      </c>
      <c r="E89" s="27" t="str">
        <f t="shared" si="17"/>
        <v>2</v>
      </c>
      <c r="F89" t="str">
        <f t="shared" si="13"/>
        <v>4</v>
      </c>
      <c r="G89" s="47" t="str">
        <f t="shared" si="18"/>
        <v>3</v>
      </c>
      <c r="H89" s="47" t="str">
        <f t="shared" si="19"/>
        <v>1</v>
      </c>
      <c r="I89" s="27" t="str">
        <f t="shared" si="20"/>
        <v>3</v>
      </c>
      <c r="J89" s="27" t="str">
        <f t="shared" si="21"/>
        <v>3</v>
      </c>
      <c r="K89" s="27" t="str">
        <f t="shared" si="22"/>
        <v>3</v>
      </c>
      <c r="L89" s="32">
        <v>2</v>
      </c>
      <c r="M89" s="32">
        <v>2</v>
      </c>
      <c r="N89" s="28" t="str">
        <f t="shared" si="12"/>
        <v>3</v>
      </c>
      <c r="O89" s="40">
        <v>1</v>
      </c>
      <c r="P89" s="42">
        <v>265432</v>
      </c>
      <c r="Q89" s="42">
        <v>44000000</v>
      </c>
      <c r="R89" s="27">
        <v>107</v>
      </c>
      <c r="S89" s="34">
        <v>52</v>
      </c>
      <c r="T89" s="27">
        <v>63</v>
      </c>
      <c r="U89" s="47">
        <v>11.77</v>
      </c>
      <c r="V89" s="47">
        <v>30.78</v>
      </c>
      <c r="W89" s="27">
        <v>18.399999999999999</v>
      </c>
      <c r="X89" s="27">
        <v>0.33</v>
      </c>
      <c r="Y89" s="27">
        <v>80</v>
      </c>
      <c r="Z89">
        <v>94477.33</v>
      </c>
      <c r="AA89">
        <f t="shared" si="14"/>
        <v>2.1472120454545454E-3</v>
      </c>
    </row>
    <row r="90" spans="1:27" x14ac:dyDescent="0.25">
      <c r="A90" s="27" t="s">
        <v>93</v>
      </c>
      <c r="B90" s="32">
        <v>3</v>
      </c>
      <c r="C90" t="str">
        <f t="shared" si="15"/>
        <v>3</v>
      </c>
      <c r="D90" s="34" t="str">
        <f t="shared" si="16"/>
        <v>3</v>
      </c>
      <c r="E90" s="27" t="str">
        <f t="shared" si="17"/>
        <v>3</v>
      </c>
      <c r="F90" t="str">
        <f t="shared" si="13"/>
        <v>5</v>
      </c>
      <c r="G90" s="47" t="str">
        <f t="shared" si="18"/>
        <v>3</v>
      </c>
      <c r="H90" s="47" t="str">
        <f t="shared" si="19"/>
        <v>1</v>
      </c>
      <c r="I90" s="27" t="str">
        <f t="shared" si="20"/>
        <v>2</v>
      </c>
      <c r="J90" s="27" t="str">
        <f t="shared" si="21"/>
        <v>3</v>
      </c>
      <c r="K90" s="27" t="str">
        <f t="shared" si="22"/>
        <v>3</v>
      </c>
      <c r="L90" s="32">
        <v>3</v>
      </c>
      <c r="M90" s="32">
        <v>1</v>
      </c>
      <c r="N90" s="28" t="str">
        <f t="shared" si="12"/>
        <v>3</v>
      </c>
      <c r="O90" s="40">
        <v>2</v>
      </c>
      <c r="P90" s="42">
        <v>416729</v>
      </c>
      <c r="Q90" s="42">
        <v>9904600</v>
      </c>
      <c r="R90" s="27">
        <v>102</v>
      </c>
      <c r="S90" s="34">
        <v>52</v>
      </c>
      <c r="T90" s="27">
        <v>47</v>
      </c>
      <c r="U90" s="47">
        <v>3.54</v>
      </c>
      <c r="V90" s="47">
        <v>30.59</v>
      </c>
      <c r="W90" s="27">
        <v>88.5</v>
      </c>
      <c r="X90" s="27">
        <v>0.24</v>
      </c>
      <c r="Y90" s="27">
        <v>93</v>
      </c>
      <c r="Z90">
        <v>-14001</v>
      </c>
      <c r="AA90">
        <f t="shared" si="14"/>
        <v>-1.4135856066878015E-3</v>
      </c>
    </row>
    <row r="91" spans="1:27" x14ac:dyDescent="0.25">
      <c r="A91" s="27" t="s">
        <v>94</v>
      </c>
      <c r="B91" s="32">
        <v>2</v>
      </c>
      <c r="C91" t="str">
        <f t="shared" si="15"/>
        <v>3</v>
      </c>
      <c r="D91" s="34" t="str">
        <f t="shared" si="16"/>
        <v>3</v>
      </c>
      <c r="E91" s="27" t="str">
        <f t="shared" si="17"/>
        <v>3</v>
      </c>
      <c r="F91" t="str">
        <f t="shared" si="13"/>
        <v>5</v>
      </c>
      <c r="G91" s="47" t="str">
        <f t="shared" si="18"/>
        <v>3</v>
      </c>
      <c r="H91" s="47" t="str">
        <f t="shared" si="19"/>
        <v>1</v>
      </c>
      <c r="I91" s="27" t="str">
        <f t="shared" si="20"/>
        <v>3</v>
      </c>
      <c r="J91" s="27" t="str">
        <f t="shared" si="21"/>
        <v>2</v>
      </c>
      <c r="K91" s="27" t="str">
        <f t="shared" si="22"/>
        <v>3</v>
      </c>
      <c r="L91" s="32">
        <v>3</v>
      </c>
      <c r="M91" s="32">
        <v>1</v>
      </c>
      <c r="N91" s="28" t="str">
        <f t="shared" si="12"/>
        <v>2</v>
      </c>
      <c r="O91" s="40">
        <v>2</v>
      </c>
      <c r="P91" s="42">
        <v>645883</v>
      </c>
      <c r="Q91" s="42">
        <v>7132500</v>
      </c>
      <c r="R91" s="27">
        <v>98</v>
      </c>
      <c r="S91" s="34">
        <v>52</v>
      </c>
      <c r="T91" s="27">
        <v>57</v>
      </c>
      <c r="U91" s="47">
        <v>7.86</v>
      </c>
      <c r="V91" s="47">
        <v>28.89</v>
      </c>
      <c r="W91" s="27">
        <v>18</v>
      </c>
      <c r="X91" s="27">
        <v>0.49</v>
      </c>
      <c r="Y91" s="27">
        <v>80</v>
      </c>
      <c r="Z91">
        <v>-82780</v>
      </c>
      <c r="AA91">
        <f t="shared" si="14"/>
        <v>-1.1606028741675429E-2</v>
      </c>
    </row>
    <row r="92" spans="1:27" x14ac:dyDescent="0.25">
      <c r="A92" s="27" t="s">
        <v>95</v>
      </c>
      <c r="B92" s="32">
        <v>2</v>
      </c>
      <c r="C92" t="str">
        <f t="shared" si="15"/>
        <v>3</v>
      </c>
      <c r="D92" s="34" t="str">
        <f t="shared" si="16"/>
        <v>3</v>
      </c>
      <c r="E92" s="27" t="str">
        <f t="shared" si="17"/>
        <v>2</v>
      </c>
      <c r="F92" t="str">
        <f t="shared" si="13"/>
        <v>5</v>
      </c>
      <c r="G92" s="47" t="str">
        <f t="shared" si="18"/>
        <v>3</v>
      </c>
      <c r="H92" s="47" t="str">
        <f t="shared" si="19"/>
        <v>1</v>
      </c>
      <c r="I92" s="27" t="str">
        <f t="shared" si="20"/>
        <v>2</v>
      </c>
      <c r="J92" s="27" t="str">
        <f t="shared" si="21"/>
        <v>2</v>
      </c>
      <c r="K92" s="27" t="str">
        <f t="shared" si="22"/>
        <v>3</v>
      </c>
      <c r="L92" s="32">
        <v>3</v>
      </c>
      <c r="M92" s="32">
        <v>1</v>
      </c>
      <c r="N92" s="28" t="str">
        <f t="shared" si="12"/>
        <v>2</v>
      </c>
      <c r="O92" s="40">
        <v>1</v>
      </c>
      <c r="P92" s="42">
        <v>3536496</v>
      </c>
      <c r="Q92" s="42">
        <v>33000000</v>
      </c>
      <c r="R92" s="27">
        <v>104</v>
      </c>
      <c r="S92" s="34">
        <v>51</v>
      </c>
      <c r="T92" s="27">
        <v>64</v>
      </c>
      <c r="U92" s="47">
        <v>16.62</v>
      </c>
      <c r="V92" s="47">
        <v>24.69</v>
      </c>
      <c r="W92" s="27">
        <v>25.8</v>
      </c>
      <c r="X92" s="27">
        <v>0.61</v>
      </c>
      <c r="Y92" s="27">
        <v>80</v>
      </c>
      <c r="Z92">
        <v>-179540</v>
      </c>
      <c r="AA92">
        <f t="shared" si="14"/>
        <v>-5.4406060606060607E-3</v>
      </c>
    </row>
    <row r="93" spans="1:27" x14ac:dyDescent="0.25">
      <c r="A93" s="27" t="s">
        <v>96</v>
      </c>
      <c r="B93" s="32">
        <v>2</v>
      </c>
      <c r="C93" t="str">
        <f t="shared" si="15"/>
        <v>3</v>
      </c>
      <c r="D93" s="34" t="str">
        <f t="shared" si="16"/>
        <v>3</v>
      </c>
      <c r="E93" s="27" t="str">
        <f t="shared" si="17"/>
        <v>3</v>
      </c>
      <c r="F93" t="str">
        <f t="shared" si="13"/>
        <v>5</v>
      </c>
      <c r="G93" s="47" t="str">
        <f t="shared" si="18"/>
        <v>3</v>
      </c>
      <c r="H93" s="47" t="str">
        <f t="shared" si="19"/>
        <v>1</v>
      </c>
      <c r="I93" s="27" t="str">
        <f t="shared" si="20"/>
        <v>1</v>
      </c>
      <c r="J93" s="27" t="str">
        <f t="shared" si="21"/>
        <v>2</v>
      </c>
      <c r="K93" s="27" t="str">
        <f t="shared" si="22"/>
        <v>3</v>
      </c>
      <c r="L93" s="32">
        <v>3</v>
      </c>
      <c r="M93" s="32">
        <v>1</v>
      </c>
      <c r="N93" s="28" t="str">
        <f t="shared" si="12"/>
        <v>3</v>
      </c>
      <c r="O93" s="40">
        <v>2</v>
      </c>
      <c r="P93" s="42">
        <v>5890495</v>
      </c>
      <c r="Q93" s="42">
        <v>274000000</v>
      </c>
      <c r="R93" s="27">
        <v>108</v>
      </c>
      <c r="S93" s="34">
        <v>51</v>
      </c>
      <c r="T93" s="27">
        <v>44</v>
      </c>
      <c r="U93" s="47">
        <v>6.4</v>
      </c>
      <c r="V93" s="47">
        <v>25.94</v>
      </c>
      <c r="W93" s="27">
        <v>151</v>
      </c>
      <c r="X93" s="27">
        <v>0.39</v>
      </c>
      <c r="Y93" s="27">
        <v>91</v>
      </c>
      <c r="Z93">
        <v>-825000</v>
      </c>
      <c r="AA93">
        <f t="shared" si="14"/>
        <v>-3.0109489051094889E-3</v>
      </c>
    </row>
    <row r="94" spans="1:27" x14ac:dyDescent="0.25">
      <c r="A94" s="27" t="s">
        <v>97</v>
      </c>
      <c r="B94" s="32">
        <v>3</v>
      </c>
      <c r="C94" t="str">
        <f t="shared" si="15"/>
        <v>3</v>
      </c>
      <c r="D94" s="34" t="str">
        <f t="shared" si="16"/>
        <v>3</v>
      </c>
      <c r="E94" s="27" t="str">
        <f t="shared" si="17"/>
        <v>3</v>
      </c>
      <c r="F94" t="str">
        <f t="shared" si="13"/>
        <v>5</v>
      </c>
      <c r="G94" s="47" t="str">
        <f t="shared" si="18"/>
        <v>3</v>
      </c>
      <c r="H94" s="47" t="str">
        <f t="shared" si="19"/>
        <v>1</v>
      </c>
      <c r="I94" s="27" t="str">
        <f t="shared" si="20"/>
        <v>2</v>
      </c>
      <c r="J94" s="27" t="str">
        <f t="shared" si="21"/>
        <v>3</v>
      </c>
      <c r="K94" s="27" t="str">
        <f t="shared" si="22"/>
        <v>2</v>
      </c>
      <c r="L94" s="32">
        <v>3</v>
      </c>
      <c r="M94" s="32">
        <v>1</v>
      </c>
      <c r="N94" s="28" t="str">
        <f t="shared" si="12"/>
        <v>3</v>
      </c>
      <c r="O94" s="40">
        <v>1</v>
      </c>
      <c r="P94" s="42">
        <v>134068</v>
      </c>
      <c r="Q94" s="42">
        <v>17000000</v>
      </c>
      <c r="R94" s="27">
        <v>114</v>
      </c>
      <c r="S94" s="34">
        <v>49</v>
      </c>
      <c r="T94" s="27">
        <v>39</v>
      </c>
      <c r="U94" s="47">
        <v>2.42</v>
      </c>
      <c r="V94" s="47">
        <v>30.92</v>
      </c>
      <c r="W94" s="27">
        <v>94.7</v>
      </c>
      <c r="X94" s="27">
        <v>0.15</v>
      </c>
      <c r="Y94" s="27">
        <v>94</v>
      </c>
      <c r="Z94">
        <v>-149999</v>
      </c>
      <c r="AA94">
        <f t="shared" si="14"/>
        <v>-8.8234705882352937E-3</v>
      </c>
    </row>
    <row r="95" spans="1:27" x14ac:dyDescent="0.25">
      <c r="A95" s="27"/>
      <c r="B95" s="32"/>
      <c r="D95" s="34"/>
      <c r="E95" s="27"/>
      <c r="I95" s="27"/>
      <c r="J95" s="27"/>
      <c r="K95" s="27"/>
      <c r="L95" s="32"/>
      <c r="M95" s="32"/>
      <c r="N95" s="28"/>
      <c r="O95" s="40"/>
      <c r="R95" s="27"/>
      <c r="S95" s="34"/>
      <c r="T95" s="27"/>
      <c r="W95" s="27"/>
      <c r="X95" s="27"/>
      <c r="Y95" s="27"/>
    </row>
    <row r="96" spans="1:27" x14ac:dyDescent="0.25">
      <c r="A96" s="27"/>
      <c r="B96" s="32"/>
      <c r="D96" s="34"/>
      <c r="E96" s="27"/>
      <c r="I96" s="27"/>
      <c r="J96" s="27"/>
      <c r="K96" s="27"/>
      <c r="L96" s="32"/>
      <c r="M96" s="32"/>
      <c r="N96" s="28"/>
      <c r="O96" s="40"/>
      <c r="R96" s="27"/>
      <c r="S96" s="34"/>
      <c r="T96" s="27"/>
      <c r="W96" s="27"/>
      <c r="X96" s="27"/>
      <c r="Y96" s="27"/>
    </row>
    <row r="97" spans="1:25" x14ac:dyDescent="0.25">
      <c r="A97" s="27"/>
      <c r="B97" s="32"/>
      <c r="D97" s="34"/>
      <c r="E97" s="27"/>
      <c r="I97" s="27"/>
      <c r="J97" s="27"/>
      <c r="K97" s="27"/>
      <c r="L97" s="32"/>
      <c r="M97" s="32"/>
      <c r="N97" s="27"/>
      <c r="O97" s="40"/>
      <c r="R97" s="27"/>
      <c r="S97" s="34"/>
      <c r="T97" s="27"/>
      <c r="W97" s="27"/>
      <c r="X97" s="27"/>
      <c r="Y97" s="27"/>
    </row>
    <row r="98" spans="1:25" x14ac:dyDescent="0.25">
      <c r="A98" s="27"/>
      <c r="B98" s="32"/>
      <c r="D98" s="34"/>
      <c r="E98" s="27"/>
      <c r="I98" s="27"/>
      <c r="J98" s="27"/>
      <c r="K98" s="27"/>
      <c r="L98" s="32"/>
      <c r="M98" s="32"/>
      <c r="N98" s="27"/>
      <c r="O98" s="40"/>
      <c r="R98" s="27"/>
      <c r="S98" s="34"/>
      <c r="T98" s="27"/>
      <c r="W98" s="27"/>
      <c r="X98" s="27"/>
      <c r="Y98" s="27"/>
    </row>
    <row r="99" spans="1:25" x14ac:dyDescent="0.25">
      <c r="A99" s="27"/>
      <c r="B99" s="32"/>
      <c r="D99" s="34"/>
      <c r="E99" s="27"/>
      <c r="I99" s="27"/>
      <c r="J99" s="27"/>
      <c r="K99" s="27"/>
      <c r="L99" s="32"/>
      <c r="M99" s="32"/>
      <c r="N99" s="27"/>
      <c r="O99" s="40"/>
      <c r="R99" s="27"/>
      <c r="S99" s="34"/>
      <c r="T99" s="27"/>
      <c r="W99" s="27"/>
      <c r="X99" s="27"/>
      <c r="Y99" s="27"/>
    </row>
    <row r="100" spans="1:25" x14ac:dyDescent="0.25">
      <c r="A100" s="27"/>
      <c r="B100" s="32"/>
      <c r="D100" s="34"/>
      <c r="E100" s="27"/>
      <c r="I100" s="27"/>
      <c r="J100" s="27"/>
      <c r="K100" s="27"/>
      <c r="L100" s="32"/>
      <c r="M100" s="32"/>
      <c r="N100" s="27"/>
      <c r="O100" s="40"/>
      <c r="R100" s="27"/>
      <c r="S100" s="34"/>
      <c r="T100" s="27"/>
      <c r="W100" s="27"/>
      <c r="X100" s="27"/>
      <c r="Y100" s="27"/>
    </row>
    <row r="101" spans="1:25" x14ac:dyDescent="0.25">
      <c r="A101" s="27"/>
      <c r="B101" s="32"/>
      <c r="D101" s="34"/>
      <c r="E101" s="27"/>
      <c r="I101" s="27"/>
      <c r="J101" s="27"/>
      <c r="K101" s="27"/>
      <c r="L101" s="32"/>
      <c r="M101" s="32"/>
      <c r="N101" s="27"/>
      <c r="O101" s="40"/>
      <c r="R101" s="27"/>
      <c r="S101" s="34"/>
      <c r="T101" s="27"/>
      <c r="W101" s="27"/>
      <c r="X101" s="27"/>
      <c r="Y101" s="27"/>
    </row>
    <row r="102" spans="1:25" x14ac:dyDescent="0.25">
      <c r="A102" s="27"/>
      <c r="B102" s="32"/>
      <c r="D102" s="34"/>
      <c r="E102" s="27"/>
      <c r="I102" s="27"/>
      <c r="J102" s="27"/>
      <c r="K102" s="27"/>
      <c r="L102" s="32"/>
      <c r="M102" s="32"/>
      <c r="N102" s="27"/>
      <c r="O102" s="40"/>
      <c r="R102" s="27"/>
      <c r="S102" s="34"/>
      <c r="T102" s="27"/>
      <c r="W102" s="27"/>
      <c r="X102" s="27"/>
      <c r="Y102" s="27"/>
    </row>
    <row r="103" spans="1:25" x14ac:dyDescent="0.25">
      <c r="A103" s="27"/>
      <c r="B103" s="32"/>
      <c r="D103" s="34"/>
      <c r="E103" s="27"/>
      <c r="I103" s="27"/>
      <c r="J103" s="27"/>
      <c r="K103" s="27"/>
      <c r="L103" s="32"/>
      <c r="M103" s="32"/>
      <c r="N103" s="27"/>
      <c r="O103" s="40"/>
      <c r="R103" s="27"/>
      <c r="S103" s="34"/>
      <c r="T103" s="27"/>
      <c r="W103" s="27"/>
      <c r="X103" s="27"/>
      <c r="Y103" s="27"/>
    </row>
    <row r="104" spans="1:25" x14ac:dyDescent="0.25">
      <c r="A104" s="27"/>
      <c r="B104" s="32"/>
      <c r="D104" s="34"/>
      <c r="E104" s="27"/>
      <c r="I104" s="27"/>
      <c r="J104" s="27"/>
      <c r="K104" s="27"/>
      <c r="L104" s="32"/>
      <c r="M104" s="32"/>
      <c r="N104" s="27"/>
      <c r="O104" s="40"/>
      <c r="R104" s="27"/>
      <c r="S104" s="34"/>
      <c r="T104" s="27"/>
      <c r="W104" s="27"/>
      <c r="X104" s="27"/>
      <c r="Y104" s="27"/>
    </row>
    <row r="105" spans="1:25" x14ac:dyDescent="0.25">
      <c r="A105" s="27"/>
      <c r="B105" s="32"/>
      <c r="D105" s="34"/>
      <c r="E105" s="27"/>
      <c r="I105" s="27"/>
      <c r="J105" s="27"/>
      <c r="K105" s="27"/>
      <c r="L105" s="32"/>
      <c r="M105" s="32"/>
      <c r="N105" s="27"/>
      <c r="O105" s="40"/>
      <c r="R105" s="27"/>
      <c r="S105" s="34"/>
      <c r="T105" s="27"/>
      <c r="W105" s="27"/>
      <c r="X105" s="27"/>
      <c r="Y105" s="27"/>
    </row>
    <row r="106" spans="1:25" x14ac:dyDescent="0.25">
      <c r="A106" s="27"/>
      <c r="B106" s="32"/>
      <c r="D106" s="34"/>
      <c r="E106" s="27"/>
      <c r="I106" s="27"/>
      <c r="J106" s="27"/>
      <c r="K106" s="27"/>
      <c r="L106" s="32"/>
      <c r="M106" s="32"/>
      <c r="N106" s="27"/>
      <c r="O106" s="40"/>
      <c r="R106" s="27"/>
      <c r="S106" s="34"/>
      <c r="T106" s="27"/>
      <c r="W106" s="27"/>
      <c r="X106" s="27"/>
      <c r="Y106" s="27"/>
    </row>
    <row r="107" spans="1:25" x14ac:dyDescent="0.25">
      <c r="A107" s="27"/>
      <c r="B107" s="32"/>
      <c r="D107" s="34"/>
      <c r="E107" s="27"/>
      <c r="I107" s="27"/>
      <c r="J107" s="27"/>
      <c r="K107" s="27"/>
      <c r="L107" s="32"/>
      <c r="M107" s="32"/>
      <c r="N107" s="27"/>
      <c r="O107" s="40"/>
      <c r="R107" s="27"/>
      <c r="S107" s="34"/>
      <c r="T107" s="27"/>
      <c r="W107" s="27"/>
      <c r="X107" s="27"/>
      <c r="Y107" s="27"/>
    </row>
    <row r="108" spans="1:25" x14ac:dyDescent="0.25">
      <c r="A108" s="27"/>
      <c r="B108" s="32"/>
      <c r="D108" s="34"/>
      <c r="E108" s="27"/>
      <c r="I108" s="27"/>
      <c r="J108" s="27"/>
      <c r="K108" s="27"/>
      <c r="L108" s="32"/>
      <c r="M108" s="32"/>
      <c r="N108" s="27"/>
      <c r="O108" s="40"/>
      <c r="R108" s="27"/>
      <c r="S108" s="34"/>
      <c r="T108" s="27"/>
      <c r="W108" s="27"/>
      <c r="X108" s="27"/>
      <c r="Y108" s="27"/>
    </row>
    <row r="109" spans="1:25" x14ac:dyDescent="0.25">
      <c r="A109" s="27"/>
      <c r="B109" s="32"/>
      <c r="D109" s="34"/>
      <c r="E109" s="27"/>
      <c r="I109" s="27"/>
      <c r="J109" s="27"/>
      <c r="K109" s="27"/>
      <c r="L109" s="32"/>
      <c r="M109" s="32"/>
      <c r="N109" s="27"/>
      <c r="O109" s="40"/>
      <c r="R109" s="27"/>
      <c r="S109" s="34"/>
      <c r="T109" s="27"/>
      <c r="W109" s="27"/>
      <c r="X109" s="27"/>
      <c r="Y109" s="27"/>
    </row>
    <row r="110" spans="1:25" x14ac:dyDescent="0.25">
      <c r="A110" s="27"/>
      <c r="B110" s="32"/>
      <c r="D110" s="34"/>
      <c r="E110" s="27"/>
      <c r="I110" s="27"/>
      <c r="J110" s="27"/>
      <c r="K110" s="27"/>
      <c r="L110" s="32"/>
      <c r="M110" s="32"/>
      <c r="N110" s="27"/>
      <c r="O110" s="40"/>
      <c r="R110" s="27"/>
      <c r="S110" s="34"/>
      <c r="T110" s="27"/>
      <c r="W110" s="27"/>
      <c r="X110" s="27"/>
      <c r="Y110" s="27"/>
    </row>
    <row r="111" spans="1:25" x14ac:dyDescent="0.25">
      <c r="A111" s="27"/>
      <c r="B111" s="32"/>
      <c r="D111" s="34"/>
      <c r="E111" s="27"/>
      <c r="I111" s="27"/>
      <c r="J111" s="27"/>
      <c r="K111" s="27"/>
      <c r="L111" s="32"/>
      <c r="M111" s="32"/>
      <c r="N111" s="27"/>
      <c r="O111" s="40"/>
      <c r="R111" s="27"/>
      <c r="S111" s="34"/>
      <c r="T111" s="27"/>
      <c r="W111" s="27"/>
      <c r="X111" s="27"/>
      <c r="Y111" s="27"/>
    </row>
    <row r="112" spans="1:25" x14ac:dyDescent="0.25">
      <c r="A112" s="27"/>
      <c r="B112" s="32"/>
      <c r="D112" s="34"/>
      <c r="E112" s="27"/>
      <c r="I112" s="27"/>
      <c r="J112" s="27"/>
      <c r="K112" s="27"/>
      <c r="L112" s="32"/>
      <c r="M112" s="32"/>
      <c r="N112" s="27"/>
      <c r="O112" s="40"/>
      <c r="R112" s="27"/>
      <c r="S112" s="34"/>
      <c r="T112" s="27"/>
      <c r="W112" s="27"/>
      <c r="X112" s="27"/>
      <c r="Y112" s="27"/>
    </row>
    <row r="113" spans="1:25" x14ac:dyDescent="0.25">
      <c r="A113" s="27"/>
      <c r="B113" s="32"/>
      <c r="D113" s="34"/>
      <c r="E113" s="27"/>
      <c r="I113" s="27"/>
      <c r="J113" s="27"/>
      <c r="K113" s="27"/>
      <c r="L113" s="32"/>
      <c r="M113" s="32"/>
      <c r="N113" s="27"/>
      <c r="O113" s="40"/>
      <c r="R113" s="27"/>
      <c r="S113" s="34"/>
      <c r="T113" s="27"/>
      <c r="W113" s="27"/>
      <c r="X113" s="27"/>
      <c r="Y113" s="27"/>
    </row>
    <row r="114" spans="1:25" x14ac:dyDescent="0.25">
      <c r="A114" s="27"/>
      <c r="B114" s="32"/>
      <c r="D114" s="34"/>
      <c r="E114" s="27"/>
      <c r="I114" s="27"/>
      <c r="J114" s="27"/>
      <c r="K114" s="27"/>
      <c r="L114" s="32"/>
      <c r="M114" s="32"/>
      <c r="N114" s="27"/>
      <c r="O114" s="40"/>
      <c r="R114" s="27"/>
      <c r="S114" s="34"/>
      <c r="T114" s="27"/>
      <c r="W114" s="27"/>
      <c r="X114" s="27"/>
      <c r="Y114" s="27"/>
    </row>
    <row r="115" spans="1:25" x14ac:dyDescent="0.25">
      <c r="A115" s="27"/>
      <c r="B115" s="32"/>
      <c r="D115" s="34"/>
      <c r="E115" s="27"/>
      <c r="I115" s="27"/>
      <c r="J115" s="27"/>
      <c r="K115" s="27"/>
      <c r="L115" s="32"/>
      <c r="M115" s="32"/>
      <c r="N115" s="27"/>
      <c r="O115" s="40"/>
      <c r="R115" s="27"/>
      <c r="S115" s="34"/>
      <c r="T115" s="27"/>
      <c r="W115" s="27"/>
      <c r="X115" s="27"/>
      <c r="Y115" s="27"/>
    </row>
    <row r="116" spans="1:25" x14ac:dyDescent="0.25">
      <c r="A116" s="27"/>
      <c r="B116" s="32"/>
      <c r="D116" s="34"/>
      <c r="E116" s="27"/>
      <c r="I116" s="27"/>
      <c r="J116" s="27"/>
      <c r="K116" s="27"/>
      <c r="L116" s="32"/>
      <c r="M116" s="32"/>
      <c r="N116" s="27"/>
      <c r="O116" s="40"/>
      <c r="R116" s="27"/>
      <c r="S116" s="34"/>
      <c r="T116" s="27"/>
      <c r="W116" s="27"/>
      <c r="X116" s="27"/>
      <c r="Y116" s="27"/>
    </row>
    <row r="117" spans="1:25" x14ac:dyDescent="0.25">
      <c r="A117" s="27"/>
      <c r="B117" s="32"/>
      <c r="D117" s="34"/>
      <c r="E117" s="27"/>
      <c r="I117" s="27"/>
      <c r="J117" s="27"/>
      <c r="K117" s="27"/>
      <c r="L117" s="32"/>
      <c r="M117" s="32"/>
      <c r="N117" s="27"/>
      <c r="O117" s="40"/>
      <c r="R117" s="27"/>
      <c r="S117" s="34"/>
      <c r="T117" s="27"/>
      <c r="W117" s="27"/>
      <c r="X117" s="27"/>
      <c r="Y117" s="27"/>
    </row>
    <row r="118" spans="1:25" x14ac:dyDescent="0.25">
      <c r="A118" s="27"/>
      <c r="B118" s="32"/>
      <c r="D118" s="34"/>
      <c r="E118" s="27"/>
      <c r="I118" s="27"/>
      <c r="J118" s="27"/>
      <c r="K118" s="27"/>
      <c r="L118" s="32"/>
      <c r="M118" s="32"/>
      <c r="N118" s="27"/>
      <c r="O118" s="40"/>
      <c r="R118" s="27"/>
      <c r="S118" s="34"/>
      <c r="T118" s="27"/>
      <c r="W118" s="27"/>
      <c r="X118" s="27"/>
      <c r="Y118" s="27"/>
    </row>
    <row r="119" spans="1:25" x14ac:dyDescent="0.25">
      <c r="A119" s="27"/>
      <c r="B119" s="32"/>
      <c r="D119" s="34"/>
      <c r="E119" s="27"/>
      <c r="I119" s="27"/>
      <c r="J119" s="27"/>
      <c r="K119" s="27"/>
      <c r="L119" s="32"/>
      <c r="M119" s="32"/>
      <c r="N119" s="27"/>
      <c r="O119" s="40"/>
      <c r="R119" s="27"/>
      <c r="S119" s="34"/>
      <c r="T119" s="27"/>
      <c r="W119" s="27"/>
      <c r="X119" s="27"/>
      <c r="Y119" s="27"/>
    </row>
    <row r="120" spans="1:25" x14ac:dyDescent="0.25">
      <c r="A120" s="27"/>
      <c r="B120" s="32"/>
      <c r="D120" s="34"/>
      <c r="E120" s="27"/>
      <c r="I120" s="27"/>
      <c r="J120" s="27"/>
      <c r="K120" s="27"/>
      <c r="L120" s="32"/>
      <c r="M120" s="32"/>
      <c r="N120" s="27"/>
      <c r="O120" s="40"/>
      <c r="R120" s="27"/>
      <c r="S120" s="34"/>
      <c r="T120" s="27"/>
      <c r="W120" s="27"/>
      <c r="X120" s="27"/>
      <c r="Y120" s="27"/>
    </row>
    <row r="121" spans="1:25" x14ac:dyDescent="0.25">
      <c r="A121" s="27"/>
      <c r="B121" s="32"/>
      <c r="D121" s="34"/>
      <c r="E121" s="27"/>
      <c r="I121" s="27"/>
      <c r="J121" s="27"/>
      <c r="K121" s="27"/>
      <c r="L121" s="32"/>
      <c r="M121" s="32"/>
      <c r="N121" s="27"/>
      <c r="O121" s="40"/>
      <c r="R121" s="27"/>
      <c r="S121" s="34"/>
      <c r="T121" s="27"/>
      <c r="W121" s="27"/>
      <c r="X121" s="27"/>
      <c r="Y121" s="27"/>
    </row>
    <row r="122" spans="1:25" x14ac:dyDescent="0.25">
      <c r="A122" s="27"/>
      <c r="B122" s="32"/>
      <c r="D122" s="34"/>
      <c r="E122" s="27"/>
      <c r="I122" s="27"/>
      <c r="J122" s="27"/>
      <c r="K122" s="27"/>
      <c r="L122" s="32"/>
      <c r="M122" s="32"/>
      <c r="N122" s="27"/>
      <c r="O122" s="40"/>
      <c r="R122" s="27"/>
      <c r="S122" s="34"/>
      <c r="T122" s="27"/>
      <c r="W122" s="27"/>
      <c r="X122" s="27"/>
      <c r="Y122" s="27"/>
    </row>
    <row r="123" spans="1:25" x14ac:dyDescent="0.25">
      <c r="A123" s="27"/>
      <c r="B123" s="32"/>
      <c r="D123" s="34"/>
      <c r="E123" s="27"/>
      <c r="I123" s="27"/>
      <c r="J123" s="27"/>
      <c r="K123" s="27"/>
      <c r="L123" s="32"/>
      <c r="M123" s="32"/>
      <c r="N123" s="27"/>
      <c r="O123" s="40"/>
      <c r="R123" s="27"/>
      <c r="S123" s="34"/>
      <c r="T123" s="27"/>
      <c r="W123" s="27"/>
      <c r="X123" s="27"/>
      <c r="Y123" s="27"/>
    </row>
    <row r="124" spans="1:25" x14ac:dyDescent="0.25">
      <c r="A124" s="27"/>
      <c r="B124" s="32"/>
      <c r="D124" s="34"/>
      <c r="E124" s="27"/>
      <c r="I124" s="27"/>
      <c r="J124" s="27"/>
      <c r="K124" s="27"/>
      <c r="L124" s="32"/>
      <c r="M124" s="32"/>
      <c r="N124" s="27"/>
      <c r="O124" s="40"/>
      <c r="R124" s="27"/>
      <c r="S124" s="34"/>
      <c r="T124" s="27"/>
      <c r="W124" s="27"/>
      <c r="X124" s="27"/>
      <c r="Y124" s="27"/>
    </row>
    <row r="125" spans="1:25" x14ac:dyDescent="0.25">
      <c r="A125" s="27"/>
      <c r="B125" s="32"/>
      <c r="D125" s="34"/>
      <c r="E125" s="27"/>
      <c r="I125" s="27"/>
      <c r="J125" s="27"/>
      <c r="K125" s="27"/>
      <c r="L125" s="32"/>
      <c r="M125" s="32"/>
      <c r="N125" s="27"/>
      <c r="O125" s="40"/>
      <c r="R125" s="27"/>
      <c r="S125" s="34"/>
      <c r="T125" s="27"/>
      <c r="W125" s="27"/>
      <c r="X125" s="27"/>
      <c r="Y125" s="27"/>
    </row>
    <row r="126" spans="1:25" x14ac:dyDescent="0.25">
      <c r="A126" s="27"/>
      <c r="B126" s="32"/>
      <c r="D126" s="34"/>
      <c r="E126" s="27"/>
      <c r="I126" s="27"/>
      <c r="J126" s="27"/>
      <c r="K126" s="27"/>
      <c r="L126" s="32"/>
      <c r="M126" s="32"/>
      <c r="N126" s="27"/>
      <c r="O126" s="40"/>
      <c r="R126" s="27"/>
      <c r="S126" s="34"/>
      <c r="T126" s="27"/>
      <c r="W126" s="27"/>
      <c r="X126" s="27"/>
      <c r="Y126" s="27"/>
    </row>
    <row r="127" spans="1:25" x14ac:dyDescent="0.25">
      <c r="A127" s="27"/>
      <c r="B127" s="32"/>
      <c r="D127" s="34"/>
      <c r="E127" s="27"/>
      <c r="I127" s="27"/>
      <c r="J127" s="27"/>
      <c r="K127" s="27"/>
      <c r="L127" s="32"/>
      <c r="M127" s="32"/>
      <c r="N127" s="27"/>
      <c r="O127" s="40"/>
      <c r="R127" s="27"/>
      <c r="S127" s="34"/>
      <c r="T127" s="27"/>
      <c r="W127" s="27"/>
      <c r="X127" s="27"/>
      <c r="Y127" s="27"/>
    </row>
    <row r="128" spans="1:25" x14ac:dyDescent="0.25">
      <c r="A128" s="27"/>
      <c r="B128" s="32"/>
      <c r="D128" s="34"/>
      <c r="E128" s="27"/>
      <c r="I128" s="27"/>
      <c r="J128" s="27"/>
      <c r="K128" s="27"/>
      <c r="L128" s="32"/>
      <c r="M128" s="32"/>
      <c r="N128" s="27"/>
      <c r="O128" s="40"/>
      <c r="R128" s="27"/>
      <c r="S128" s="34"/>
      <c r="T128" s="27"/>
      <c r="W128" s="27"/>
      <c r="X128" s="27"/>
      <c r="Y128" s="27"/>
    </row>
    <row r="129" spans="1:25" x14ac:dyDescent="0.25">
      <c r="A129" s="27"/>
      <c r="B129" s="32"/>
      <c r="D129" s="34"/>
      <c r="E129" s="27"/>
      <c r="I129" s="27"/>
      <c r="J129" s="27"/>
      <c r="K129" s="27"/>
      <c r="L129" s="32"/>
      <c r="M129" s="32"/>
      <c r="N129" s="27"/>
      <c r="O129" s="40"/>
      <c r="R129" s="27"/>
      <c r="S129" s="34"/>
      <c r="T129" s="27"/>
      <c r="W129" s="27"/>
      <c r="X129" s="27"/>
      <c r="Y129" s="27"/>
    </row>
    <row r="130" spans="1:25" x14ac:dyDescent="0.25">
      <c r="A130" s="27"/>
      <c r="B130" s="32"/>
      <c r="D130" s="34"/>
      <c r="E130" s="27"/>
      <c r="I130" s="27"/>
      <c r="J130" s="27"/>
      <c r="K130" s="27"/>
      <c r="L130" s="32"/>
      <c r="M130" s="32"/>
      <c r="N130" s="27"/>
      <c r="O130" s="40"/>
      <c r="R130" s="27"/>
      <c r="S130" s="34"/>
      <c r="T130" s="27"/>
      <c r="W130" s="27"/>
      <c r="X130" s="27"/>
      <c r="Y130" s="27"/>
    </row>
    <row r="131" spans="1:25" x14ac:dyDescent="0.25">
      <c r="A131" s="27"/>
      <c r="B131" s="32"/>
      <c r="D131" s="34"/>
      <c r="E131" s="27"/>
      <c r="I131" s="27"/>
      <c r="J131" s="27"/>
      <c r="K131" s="27"/>
      <c r="L131" s="32"/>
      <c r="M131" s="32"/>
      <c r="N131" s="27"/>
      <c r="O131" s="40"/>
      <c r="R131" s="27"/>
      <c r="S131" s="34"/>
      <c r="T131" s="27"/>
      <c r="W131" s="27"/>
      <c r="X131" s="27"/>
      <c r="Y131" s="27"/>
    </row>
    <row r="132" spans="1:25" x14ac:dyDescent="0.25">
      <c r="A132" s="27"/>
      <c r="B132" s="32"/>
      <c r="D132" s="34"/>
      <c r="E132" s="27"/>
      <c r="I132" s="27"/>
      <c r="J132" s="27"/>
      <c r="K132" s="27"/>
      <c r="L132" s="32"/>
      <c r="M132" s="32"/>
      <c r="N132" s="27"/>
      <c r="O132" s="40"/>
      <c r="R132" s="27"/>
      <c r="S132" s="34"/>
      <c r="T132" s="27"/>
      <c r="W132" s="27"/>
      <c r="X132" s="27"/>
      <c r="Y132" s="27"/>
    </row>
    <row r="133" spans="1:25" x14ac:dyDescent="0.25">
      <c r="A133" s="27"/>
      <c r="B133" s="32"/>
      <c r="D133" s="34"/>
      <c r="E133" s="27"/>
      <c r="I133" s="27"/>
      <c r="J133" s="27"/>
      <c r="K133" s="27"/>
      <c r="L133" s="32"/>
      <c r="M133" s="32"/>
      <c r="N133" s="27"/>
      <c r="O133" s="40"/>
      <c r="R133" s="27"/>
      <c r="S133" s="34"/>
      <c r="T133" s="27"/>
      <c r="W133" s="27"/>
      <c r="X133" s="27"/>
      <c r="Y133" s="27"/>
    </row>
    <row r="134" spans="1:25" x14ac:dyDescent="0.25">
      <c r="A134" s="27"/>
      <c r="B134" s="32"/>
      <c r="D134" s="34"/>
      <c r="E134" s="27"/>
      <c r="I134" s="27"/>
      <c r="J134" s="27"/>
      <c r="K134" s="27"/>
      <c r="L134" s="32"/>
      <c r="M134" s="32"/>
      <c r="N134" s="27"/>
      <c r="O134" s="40"/>
      <c r="R134" s="27"/>
      <c r="S134" s="34"/>
      <c r="T134" s="27"/>
      <c r="W134" s="27"/>
      <c r="X134" s="27"/>
      <c r="Y134" s="27"/>
    </row>
    <row r="135" spans="1:25" x14ac:dyDescent="0.25">
      <c r="A135" s="27"/>
      <c r="B135" s="32"/>
      <c r="D135" s="34"/>
      <c r="E135" s="27"/>
      <c r="I135" s="27"/>
      <c r="J135" s="27"/>
      <c r="K135" s="27"/>
      <c r="L135" s="32"/>
      <c r="M135" s="32"/>
      <c r="N135" s="27"/>
      <c r="O135" s="40"/>
      <c r="R135" s="27"/>
      <c r="S135" s="34"/>
      <c r="T135" s="27"/>
      <c r="W135" s="27"/>
      <c r="X135" s="27"/>
      <c r="Y135" s="27"/>
    </row>
    <row r="136" spans="1:25" x14ac:dyDescent="0.25">
      <c r="A136" s="27"/>
      <c r="B136" s="32"/>
      <c r="D136" s="34"/>
      <c r="E136" s="27"/>
      <c r="I136" s="27"/>
      <c r="J136" s="27"/>
      <c r="K136" s="27"/>
      <c r="L136" s="32"/>
      <c r="M136" s="32"/>
      <c r="N136" s="27"/>
      <c r="O136" s="40"/>
      <c r="R136" s="27"/>
      <c r="S136" s="34"/>
      <c r="T136" s="27"/>
      <c r="W136" s="27"/>
      <c r="X136" s="27"/>
      <c r="Y136" s="27"/>
    </row>
    <row r="137" spans="1:25" x14ac:dyDescent="0.25">
      <c r="A137" s="27"/>
      <c r="B137" s="32"/>
      <c r="D137" s="34"/>
      <c r="E137" s="27"/>
      <c r="I137" s="27"/>
      <c r="J137" s="27"/>
      <c r="K137" s="27"/>
      <c r="L137" s="32"/>
      <c r="M137" s="32"/>
      <c r="N137" s="27"/>
      <c r="O137" s="40"/>
      <c r="R137" s="27"/>
      <c r="S137" s="34"/>
      <c r="T137" s="27"/>
      <c r="W137" s="27"/>
      <c r="X137" s="27"/>
      <c r="Y137" s="27"/>
    </row>
    <row r="138" spans="1:25" x14ac:dyDescent="0.25">
      <c r="A138" s="27"/>
      <c r="B138" s="32"/>
      <c r="D138" s="34"/>
      <c r="E138" s="27"/>
      <c r="I138" s="27"/>
      <c r="J138" s="27"/>
      <c r="K138" s="27"/>
      <c r="L138" s="32"/>
      <c r="M138" s="32"/>
      <c r="N138" s="27"/>
      <c r="O138" s="40"/>
      <c r="R138" s="27"/>
      <c r="S138" s="34"/>
      <c r="T138" s="27"/>
      <c r="W138" s="27"/>
      <c r="X138" s="27"/>
      <c r="Y138" s="27"/>
    </row>
    <row r="139" spans="1:25" x14ac:dyDescent="0.25">
      <c r="A139" s="27"/>
      <c r="B139" s="32"/>
      <c r="D139" s="34"/>
      <c r="E139" s="27"/>
      <c r="I139" s="27"/>
      <c r="J139" s="27"/>
      <c r="K139" s="27"/>
      <c r="L139" s="32"/>
      <c r="M139" s="32"/>
      <c r="N139" s="27"/>
      <c r="O139" s="40"/>
      <c r="R139" s="27"/>
      <c r="S139" s="34"/>
      <c r="T139" s="27"/>
      <c r="W139" s="27"/>
      <c r="X139" s="27"/>
      <c r="Y139" s="27"/>
    </row>
    <row r="140" spans="1:25" x14ac:dyDescent="0.25">
      <c r="A140" s="27"/>
      <c r="B140" s="32"/>
      <c r="D140" s="34"/>
      <c r="E140" s="27"/>
      <c r="I140" s="27"/>
      <c r="J140" s="27"/>
      <c r="K140" s="27"/>
      <c r="L140" s="32"/>
      <c r="M140" s="32"/>
      <c r="N140" s="27"/>
      <c r="O140" s="40"/>
      <c r="R140" s="27"/>
      <c r="S140" s="34"/>
      <c r="T140" s="27"/>
      <c r="W140" s="27"/>
      <c r="X140" s="27"/>
      <c r="Y140" s="27"/>
    </row>
    <row r="141" spans="1:25" x14ac:dyDescent="0.25">
      <c r="A141" s="27"/>
      <c r="B141" s="32"/>
      <c r="D141" s="34"/>
      <c r="E141" s="27"/>
      <c r="I141" s="27"/>
      <c r="J141" s="27"/>
      <c r="K141" s="27"/>
      <c r="L141" s="32"/>
      <c r="M141" s="32"/>
      <c r="N141" s="27"/>
      <c r="O141" s="40"/>
      <c r="R141" s="27"/>
      <c r="S141" s="34"/>
      <c r="T141" s="27"/>
      <c r="W141" s="27"/>
      <c r="X141" s="27"/>
      <c r="Y141" s="27"/>
    </row>
    <row r="142" spans="1:25" x14ac:dyDescent="0.25">
      <c r="A142" s="27"/>
      <c r="B142" s="32"/>
      <c r="D142" s="34"/>
      <c r="E142" s="27"/>
      <c r="I142" s="27"/>
      <c r="J142" s="27"/>
      <c r="K142" s="27"/>
      <c r="L142" s="32"/>
      <c r="M142" s="32"/>
      <c r="N142" s="27"/>
      <c r="O142" s="40"/>
      <c r="R142" s="27"/>
      <c r="S142" s="34"/>
      <c r="T142" s="27"/>
      <c r="W142" s="27"/>
      <c r="X142" s="27"/>
      <c r="Y142" s="27"/>
    </row>
    <row r="143" spans="1:25" x14ac:dyDescent="0.25">
      <c r="A143" s="27"/>
      <c r="B143" s="32"/>
      <c r="D143" s="34"/>
      <c r="E143" s="27"/>
      <c r="I143" s="27"/>
      <c r="J143" s="27"/>
      <c r="K143" s="27"/>
      <c r="L143" s="32"/>
      <c r="M143" s="32"/>
      <c r="N143" s="27"/>
      <c r="O143" s="40"/>
      <c r="R143" s="27"/>
      <c r="S143" s="34"/>
      <c r="T143" s="27"/>
      <c r="W143" s="27"/>
      <c r="X143" s="27"/>
      <c r="Y143" s="27"/>
    </row>
    <row r="144" spans="1:25" x14ac:dyDescent="0.25">
      <c r="A144" s="27"/>
      <c r="B144" s="32"/>
      <c r="D144" s="34"/>
      <c r="E144" s="27"/>
      <c r="I144" s="27"/>
      <c r="J144" s="27"/>
      <c r="K144" s="27"/>
      <c r="L144" s="32"/>
      <c r="M144" s="32"/>
      <c r="N144" s="27"/>
      <c r="O144" s="40"/>
      <c r="R144" s="27"/>
      <c r="S144" s="34"/>
      <c r="T144" s="27"/>
      <c r="W144" s="27"/>
      <c r="X144" s="27"/>
      <c r="Y144" s="27"/>
    </row>
    <row r="145" spans="1:25" x14ac:dyDescent="0.25">
      <c r="A145" s="27"/>
      <c r="B145" s="32"/>
      <c r="D145" s="34"/>
      <c r="E145" s="27"/>
      <c r="I145" s="27"/>
      <c r="J145" s="27"/>
      <c r="K145" s="27"/>
      <c r="L145" s="32"/>
      <c r="M145" s="32"/>
      <c r="N145" s="27"/>
      <c r="O145" s="40"/>
      <c r="R145" s="27"/>
      <c r="S145" s="34"/>
      <c r="T145" s="27"/>
      <c r="W145" s="27"/>
      <c r="X145" s="27"/>
      <c r="Y145" s="27"/>
    </row>
    <row r="146" spans="1:25" x14ac:dyDescent="0.25">
      <c r="A146" s="27"/>
      <c r="B146" s="32"/>
      <c r="D146" s="34"/>
      <c r="E146" s="27"/>
      <c r="I146" s="27"/>
      <c r="J146" s="27"/>
      <c r="K146" s="27"/>
      <c r="L146" s="32"/>
      <c r="M146" s="32"/>
      <c r="N146" s="27"/>
      <c r="O146" s="40"/>
      <c r="R146" s="27"/>
      <c r="S146" s="34"/>
      <c r="T146" s="27"/>
      <c r="W146" s="27"/>
      <c r="X146" s="27"/>
      <c r="Y146" s="27"/>
    </row>
    <row r="147" spans="1:25" x14ac:dyDescent="0.25">
      <c r="A147" s="27"/>
      <c r="B147" s="32"/>
      <c r="D147" s="34"/>
      <c r="E147" s="27"/>
      <c r="I147" s="27"/>
      <c r="J147" s="27"/>
      <c r="K147" s="27"/>
      <c r="L147" s="32"/>
      <c r="M147" s="32"/>
      <c r="N147" s="27"/>
      <c r="O147" s="40"/>
      <c r="R147" s="27"/>
      <c r="S147" s="34"/>
      <c r="T147" s="27"/>
      <c r="W147" s="27"/>
      <c r="X147" s="27"/>
      <c r="Y147" s="27"/>
    </row>
    <row r="148" spans="1:25" x14ac:dyDescent="0.25">
      <c r="A148" s="27"/>
      <c r="B148" s="32"/>
      <c r="D148" s="34"/>
      <c r="E148" s="27"/>
      <c r="I148" s="27"/>
      <c r="J148" s="27"/>
      <c r="K148" s="27"/>
      <c r="L148" s="32"/>
      <c r="M148" s="32"/>
      <c r="N148" s="27"/>
      <c r="O148" s="40"/>
      <c r="R148" s="27"/>
      <c r="S148" s="34"/>
      <c r="T148" s="27"/>
      <c r="W148" s="27"/>
      <c r="X148" s="27"/>
      <c r="Y148" s="27"/>
    </row>
    <row r="149" spans="1:25" x14ac:dyDescent="0.25">
      <c r="A149" s="27"/>
      <c r="B149" s="32"/>
      <c r="D149" s="34"/>
      <c r="E149" s="27"/>
      <c r="I149" s="27"/>
      <c r="J149" s="27"/>
      <c r="K149" s="27"/>
      <c r="L149" s="32"/>
      <c r="M149" s="32"/>
      <c r="N149" s="27"/>
      <c r="O149" s="40"/>
      <c r="R149" s="27"/>
      <c r="S149" s="34"/>
      <c r="T149" s="27"/>
      <c r="W149" s="27"/>
      <c r="X149" s="27"/>
      <c r="Y149" s="27"/>
    </row>
    <row r="150" spans="1:25" x14ac:dyDescent="0.25">
      <c r="A150" s="27"/>
      <c r="B150" s="32"/>
      <c r="D150" s="34"/>
      <c r="E150" s="27"/>
      <c r="I150" s="27"/>
      <c r="J150" s="27"/>
      <c r="K150" s="27"/>
      <c r="L150" s="32"/>
      <c r="M150" s="32"/>
      <c r="N150" s="27"/>
      <c r="O150" s="40"/>
      <c r="R150" s="27"/>
      <c r="S150" s="34"/>
      <c r="T150" s="27"/>
      <c r="W150" s="27"/>
      <c r="X150" s="27"/>
      <c r="Y150" s="27"/>
    </row>
    <row r="151" spans="1:25" x14ac:dyDescent="0.25">
      <c r="A151" s="27"/>
      <c r="B151" s="32"/>
      <c r="D151" s="34"/>
      <c r="E151" s="27"/>
      <c r="I151" s="27"/>
      <c r="J151" s="27"/>
      <c r="K151" s="27"/>
      <c r="L151" s="32"/>
      <c r="M151" s="32"/>
      <c r="N151" s="27"/>
      <c r="O151" s="40"/>
      <c r="R151" s="27"/>
      <c r="S151" s="34"/>
      <c r="T151" s="27"/>
      <c r="W151" s="27"/>
      <c r="X151" s="27"/>
      <c r="Y151" s="27"/>
    </row>
    <row r="152" spans="1:25" x14ac:dyDescent="0.25">
      <c r="A152" s="27"/>
      <c r="B152" s="32"/>
      <c r="D152" s="34"/>
      <c r="E152" s="27"/>
      <c r="I152" s="27"/>
      <c r="J152" s="27"/>
      <c r="K152" s="27"/>
      <c r="L152" s="32"/>
      <c r="M152" s="32"/>
      <c r="N152" s="27"/>
      <c r="O152" s="40"/>
      <c r="R152" s="27"/>
      <c r="S152" s="34"/>
      <c r="T152" s="27"/>
      <c r="W152" s="27"/>
      <c r="X152" s="27"/>
      <c r="Y152" s="27"/>
    </row>
    <row r="153" spans="1:25" x14ac:dyDescent="0.25">
      <c r="A153" s="27"/>
      <c r="B153" s="32"/>
      <c r="D153" s="34"/>
      <c r="E153" s="27"/>
      <c r="I153" s="27"/>
      <c r="J153" s="27"/>
      <c r="K153" s="27"/>
      <c r="L153" s="32"/>
      <c r="M153" s="32"/>
      <c r="N153" s="27"/>
      <c r="O153" s="40"/>
      <c r="R153" s="27"/>
      <c r="S153" s="34"/>
      <c r="T153" s="27"/>
      <c r="W153" s="27"/>
      <c r="X153" s="27"/>
      <c r="Y153" s="27"/>
    </row>
    <row r="154" spans="1:25" x14ac:dyDescent="0.25">
      <c r="A154" s="27"/>
      <c r="B154" s="32"/>
      <c r="D154" s="34"/>
      <c r="E154" s="27"/>
      <c r="I154" s="27"/>
      <c r="J154" s="27"/>
      <c r="K154" s="27"/>
      <c r="L154" s="32"/>
      <c r="M154" s="32"/>
      <c r="N154" s="27"/>
      <c r="O154" s="40"/>
      <c r="R154" s="27"/>
      <c r="S154" s="34"/>
      <c r="T154" s="27"/>
      <c r="W154" s="27"/>
      <c r="X154" s="27"/>
      <c r="Y154" s="27"/>
    </row>
    <row r="155" spans="1:25" x14ac:dyDescent="0.25">
      <c r="A155" s="27"/>
      <c r="B155" s="32"/>
      <c r="D155" s="34"/>
      <c r="E155" s="27"/>
      <c r="I155" s="27"/>
      <c r="J155" s="27"/>
      <c r="K155" s="27"/>
      <c r="L155" s="32"/>
      <c r="M155" s="32"/>
      <c r="N155" s="27"/>
      <c r="O155" s="40"/>
      <c r="R155" s="27"/>
      <c r="S155" s="34"/>
      <c r="T155" s="27"/>
      <c r="W155" s="27"/>
      <c r="X155" s="27"/>
      <c r="Y155" s="27"/>
    </row>
    <row r="156" spans="1:25" x14ac:dyDescent="0.25">
      <c r="A156" s="27"/>
      <c r="B156" s="32"/>
      <c r="D156" s="34"/>
      <c r="E156" s="27"/>
      <c r="I156" s="27"/>
      <c r="J156" s="27"/>
      <c r="K156" s="27"/>
      <c r="L156" s="32"/>
      <c r="M156" s="32"/>
      <c r="N156" s="27"/>
      <c r="O156" s="40"/>
      <c r="R156" s="27"/>
      <c r="S156" s="34"/>
      <c r="T156" s="27"/>
      <c r="W156" s="27"/>
      <c r="X156" s="27"/>
      <c r="Y156" s="27"/>
    </row>
    <row r="157" spans="1:25" x14ac:dyDescent="0.25">
      <c r="A157" s="27"/>
      <c r="B157" s="32"/>
      <c r="D157" s="34"/>
      <c r="E157" s="27"/>
      <c r="I157" s="27"/>
      <c r="J157" s="27"/>
      <c r="K157" s="27"/>
      <c r="L157" s="32"/>
      <c r="M157" s="32"/>
      <c r="N157" s="27"/>
      <c r="O157" s="40"/>
      <c r="R157" s="27"/>
      <c r="S157" s="34"/>
      <c r="T157" s="27"/>
      <c r="W157" s="27"/>
      <c r="X157" s="27"/>
      <c r="Y157" s="27"/>
    </row>
    <row r="158" spans="1:25" x14ac:dyDescent="0.25">
      <c r="A158" s="27"/>
      <c r="B158" s="32"/>
      <c r="D158" s="34"/>
      <c r="E158" s="27"/>
      <c r="I158" s="27"/>
      <c r="J158" s="27"/>
      <c r="K158" s="27"/>
      <c r="L158" s="32"/>
      <c r="M158" s="32"/>
      <c r="N158" s="27"/>
      <c r="O158" s="40"/>
      <c r="R158" s="27"/>
      <c r="S158" s="34"/>
      <c r="T158" s="27"/>
      <c r="W158" s="27"/>
      <c r="X158" s="27"/>
      <c r="Y158" s="27"/>
    </row>
    <row r="159" spans="1:25" x14ac:dyDescent="0.25">
      <c r="A159" s="27"/>
      <c r="B159" s="32"/>
      <c r="D159" s="34"/>
      <c r="E159" s="27"/>
      <c r="I159" s="27"/>
      <c r="J159" s="27"/>
      <c r="K159" s="27"/>
      <c r="L159" s="32"/>
      <c r="M159" s="32"/>
      <c r="N159" s="27"/>
      <c r="O159" s="40"/>
      <c r="R159" s="27"/>
      <c r="S159" s="34"/>
      <c r="T159" s="27"/>
      <c r="W159" s="27"/>
      <c r="X159" s="27"/>
      <c r="Y159" s="27"/>
    </row>
    <row r="160" spans="1:25" x14ac:dyDescent="0.25">
      <c r="A160" s="27"/>
      <c r="B160" s="32"/>
      <c r="D160" s="34"/>
      <c r="E160" s="27"/>
      <c r="I160" s="27"/>
      <c r="J160" s="27"/>
      <c r="K160" s="27"/>
      <c r="L160" s="32"/>
      <c r="M160" s="32"/>
      <c r="N160" s="27"/>
      <c r="O160" s="40"/>
      <c r="R160" s="27"/>
      <c r="S160" s="34"/>
      <c r="T160" s="27"/>
      <c r="W160" s="27"/>
      <c r="X160" s="27"/>
      <c r="Y160" s="27"/>
    </row>
    <row r="161" spans="1:25" x14ac:dyDescent="0.25">
      <c r="A161" s="27"/>
      <c r="B161" s="32"/>
      <c r="D161" s="34"/>
      <c r="E161" s="27"/>
      <c r="I161" s="27"/>
      <c r="J161" s="27"/>
      <c r="K161" s="27"/>
      <c r="L161" s="32"/>
      <c r="M161" s="32"/>
      <c r="N161" s="27"/>
      <c r="O161" s="40"/>
      <c r="R161" s="27"/>
      <c r="S161" s="34"/>
      <c r="T161" s="27"/>
      <c r="W161" s="27"/>
      <c r="X161" s="27"/>
      <c r="Y161" s="27"/>
    </row>
    <row r="162" spans="1:25" x14ac:dyDescent="0.25">
      <c r="A162" s="27"/>
      <c r="B162" s="32"/>
      <c r="D162" s="34"/>
      <c r="E162" s="27"/>
      <c r="I162" s="27"/>
      <c r="J162" s="27"/>
      <c r="K162" s="27"/>
      <c r="L162" s="32"/>
      <c r="M162" s="32"/>
      <c r="N162" s="27"/>
      <c r="O162" s="40"/>
      <c r="R162" s="27"/>
      <c r="S162" s="34"/>
      <c r="T162" s="27"/>
      <c r="W162" s="27"/>
      <c r="X162" s="27"/>
      <c r="Y162" s="27"/>
    </row>
    <row r="163" spans="1:25" x14ac:dyDescent="0.25">
      <c r="A163" s="27"/>
      <c r="B163" s="32"/>
      <c r="D163" s="34"/>
      <c r="E163" s="27"/>
      <c r="I163" s="27"/>
      <c r="J163" s="27"/>
      <c r="K163" s="27"/>
      <c r="L163" s="32"/>
      <c r="M163" s="32"/>
      <c r="N163" s="27"/>
      <c r="O163" s="40"/>
      <c r="R163" s="27"/>
      <c r="S163" s="34"/>
      <c r="T163" s="27"/>
      <c r="W163" s="27"/>
      <c r="X163" s="27"/>
      <c r="Y163" s="27"/>
    </row>
    <row r="164" spans="1:25" x14ac:dyDescent="0.25">
      <c r="A164" s="27"/>
      <c r="B164" s="32"/>
      <c r="D164" s="34"/>
      <c r="E164" s="27"/>
      <c r="I164" s="27"/>
      <c r="J164" s="27"/>
      <c r="K164" s="27"/>
      <c r="L164" s="32"/>
      <c r="M164" s="32"/>
      <c r="N164" s="27"/>
      <c r="O164" s="40"/>
      <c r="R164" s="27"/>
      <c r="S164" s="34"/>
      <c r="T164" s="27"/>
      <c r="W164" s="27"/>
      <c r="X164" s="27"/>
      <c r="Y164" s="27"/>
    </row>
    <row r="165" spans="1:25" x14ac:dyDescent="0.25">
      <c r="A165" s="27"/>
      <c r="B165" s="32"/>
      <c r="D165" s="34"/>
      <c r="E165" s="27"/>
      <c r="I165" s="27"/>
      <c r="J165" s="27"/>
      <c r="K165" s="27"/>
      <c r="L165" s="32"/>
      <c r="M165" s="32"/>
      <c r="N165" s="27"/>
      <c r="O165" s="40"/>
      <c r="R165" s="27"/>
      <c r="S165" s="34"/>
      <c r="T165" s="27"/>
      <c r="W165" s="27"/>
      <c r="X165" s="27"/>
      <c r="Y165" s="27"/>
    </row>
    <row r="166" spans="1:25" x14ac:dyDescent="0.25">
      <c r="A166" s="27"/>
      <c r="B166" s="32"/>
      <c r="D166" s="34"/>
      <c r="E166" s="27"/>
      <c r="I166" s="27"/>
      <c r="J166" s="27"/>
      <c r="K166" s="27"/>
      <c r="L166" s="32"/>
      <c r="M166" s="32"/>
      <c r="N166" s="27"/>
      <c r="O166" s="40"/>
      <c r="R166" s="27"/>
      <c r="S166" s="34"/>
      <c r="T166" s="27"/>
      <c r="W166" s="27"/>
      <c r="X166" s="27"/>
      <c r="Y166" s="27"/>
    </row>
    <row r="167" spans="1:25" x14ac:dyDescent="0.25">
      <c r="A167" s="27"/>
      <c r="B167" s="32"/>
      <c r="D167" s="34"/>
      <c r="E167" s="27"/>
      <c r="I167" s="27"/>
      <c r="J167" s="27"/>
      <c r="K167" s="27"/>
      <c r="L167" s="32"/>
      <c r="M167" s="32"/>
      <c r="N167" s="27"/>
      <c r="O167" s="40"/>
      <c r="R167" s="27"/>
      <c r="S167" s="34"/>
      <c r="T167" s="27"/>
      <c r="W167" s="27"/>
      <c r="X167" s="27"/>
      <c r="Y167" s="27"/>
    </row>
    <row r="168" spans="1:25" x14ac:dyDescent="0.25">
      <c r="A168" s="27"/>
      <c r="B168" s="32"/>
      <c r="D168" s="34"/>
      <c r="E168" s="27"/>
      <c r="I168" s="27"/>
      <c r="J168" s="27"/>
      <c r="K168" s="27"/>
      <c r="L168" s="32"/>
      <c r="M168" s="32"/>
      <c r="N168" s="27"/>
      <c r="O168" s="40"/>
      <c r="R168" s="27"/>
      <c r="S168" s="34"/>
      <c r="T168" s="27"/>
      <c r="W168" s="27"/>
      <c r="X168" s="27"/>
      <c r="Y168" s="27"/>
    </row>
    <row r="169" spans="1:25" x14ac:dyDescent="0.25">
      <c r="A169" s="27"/>
      <c r="B169" s="32"/>
      <c r="D169" s="34"/>
      <c r="E169" s="27"/>
      <c r="I169" s="27"/>
      <c r="J169" s="27"/>
      <c r="K169" s="27"/>
      <c r="L169" s="32"/>
      <c r="M169" s="32"/>
      <c r="N169" s="27"/>
      <c r="O169" s="40"/>
      <c r="R169" s="27"/>
      <c r="S169" s="34"/>
      <c r="T169" s="27"/>
      <c r="W169" s="27"/>
      <c r="X169" s="27"/>
      <c r="Y169" s="27"/>
    </row>
    <row r="170" spans="1:25" x14ac:dyDescent="0.25">
      <c r="A170" s="27"/>
      <c r="B170" s="32"/>
      <c r="D170" s="34"/>
      <c r="E170" s="27"/>
      <c r="I170" s="27"/>
      <c r="J170" s="27"/>
      <c r="K170" s="27"/>
      <c r="L170" s="32"/>
      <c r="M170" s="32"/>
      <c r="N170" s="27"/>
      <c r="O170" s="40"/>
      <c r="R170" s="27"/>
      <c r="S170" s="34"/>
      <c r="T170" s="27"/>
      <c r="W170" s="27"/>
      <c r="X170" s="27"/>
      <c r="Y170" s="27"/>
    </row>
    <row r="171" spans="1:25" x14ac:dyDescent="0.25">
      <c r="A171" s="27"/>
      <c r="B171" s="32"/>
      <c r="D171" s="34"/>
      <c r="E171" s="27"/>
      <c r="I171" s="27"/>
      <c r="J171" s="27"/>
      <c r="K171" s="27"/>
      <c r="L171" s="32"/>
      <c r="M171" s="32"/>
      <c r="N171" s="27"/>
      <c r="O171" s="40"/>
      <c r="R171" s="27"/>
      <c r="S171" s="34"/>
      <c r="T171" s="27"/>
      <c r="W171" s="27"/>
      <c r="X171" s="27"/>
      <c r="Y171" s="27"/>
    </row>
    <row r="172" spans="1:25" x14ac:dyDescent="0.25">
      <c r="A172" s="27"/>
      <c r="B172" s="32"/>
      <c r="D172" s="34"/>
      <c r="E172" s="27"/>
      <c r="I172" s="27"/>
      <c r="J172" s="27"/>
      <c r="K172" s="27"/>
      <c r="L172" s="32"/>
      <c r="M172" s="32"/>
      <c r="N172" s="27"/>
      <c r="O172" s="40"/>
      <c r="R172" s="27"/>
      <c r="S172" s="34"/>
      <c r="T172" s="27"/>
      <c r="W172" s="27"/>
      <c r="X172" s="27"/>
      <c r="Y172" s="27"/>
    </row>
    <row r="173" spans="1:25" x14ac:dyDescent="0.25">
      <c r="A173" s="27"/>
      <c r="B173" s="32"/>
      <c r="D173" s="34"/>
      <c r="E173" s="27"/>
      <c r="I173" s="27"/>
      <c r="J173" s="27"/>
      <c r="K173" s="27"/>
      <c r="L173" s="32"/>
      <c r="M173" s="32"/>
      <c r="N173" s="27"/>
      <c r="O173" s="40"/>
      <c r="R173" s="27"/>
      <c r="S173" s="34"/>
      <c r="T173" s="27"/>
      <c r="W173" s="27"/>
      <c r="X173" s="27"/>
      <c r="Y173" s="27"/>
    </row>
    <row r="174" spans="1:25" x14ac:dyDescent="0.25">
      <c r="A174" s="27"/>
      <c r="B174" s="32"/>
      <c r="D174" s="34"/>
      <c r="E174" s="27"/>
      <c r="I174" s="27"/>
      <c r="J174" s="27"/>
      <c r="K174" s="27"/>
      <c r="L174" s="32"/>
      <c r="M174" s="32"/>
      <c r="N174" s="27"/>
      <c r="O174" s="40"/>
      <c r="R174" s="27"/>
      <c r="S174" s="34"/>
      <c r="T174" s="27"/>
      <c r="W174" s="27"/>
      <c r="X174" s="27"/>
      <c r="Y174" s="27"/>
    </row>
    <row r="175" spans="1:25" x14ac:dyDescent="0.25">
      <c r="A175" s="27"/>
      <c r="B175" s="32"/>
      <c r="D175" s="34"/>
      <c r="E175" s="27"/>
      <c r="I175" s="27"/>
      <c r="J175" s="27"/>
      <c r="K175" s="27"/>
      <c r="L175" s="32"/>
      <c r="M175" s="32"/>
      <c r="N175" s="27"/>
      <c r="O175" s="40"/>
      <c r="R175" s="27"/>
      <c r="S175" s="34"/>
      <c r="T175" s="27"/>
      <c r="W175" s="27"/>
      <c r="X175" s="27"/>
      <c r="Y175" s="27"/>
    </row>
    <row r="176" spans="1:25" x14ac:dyDescent="0.25">
      <c r="A176" s="27"/>
      <c r="B176" s="32"/>
      <c r="D176" s="34"/>
      <c r="E176" s="27"/>
      <c r="I176" s="27"/>
      <c r="J176" s="27"/>
      <c r="K176" s="27"/>
      <c r="L176" s="32"/>
      <c r="M176" s="32"/>
      <c r="N176" s="27"/>
      <c r="O176" s="40"/>
      <c r="R176" s="27"/>
      <c r="S176" s="34"/>
      <c r="T176" s="27"/>
      <c r="W176" s="27"/>
      <c r="X176" s="27"/>
      <c r="Y176" s="27"/>
    </row>
    <row r="177" spans="1:25" x14ac:dyDescent="0.25">
      <c r="A177" s="27"/>
      <c r="B177" s="32"/>
      <c r="D177" s="34"/>
      <c r="E177" s="27"/>
      <c r="I177" s="27"/>
      <c r="J177" s="27"/>
      <c r="K177" s="27"/>
      <c r="L177" s="32"/>
      <c r="M177" s="32"/>
      <c r="N177" s="27"/>
      <c r="O177" s="40"/>
      <c r="R177" s="27"/>
      <c r="S177" s="34"/>
      <c r="T177" s="27"/>
      <c r="W177" s="27"/>
      <c r="X177" s="27"/>
      <c r="Y177" s="27"/>
    </row>
    <row r="178" spans="1:25" x14ac:dyDescent="0.25">
      <c r="A178" s="27"/>
      <c r="B178" s="32"/>
      <c r="D178" s="34"/>
      <c r="E178" s="27"/>
      <c r="I178" s="27"/>
      <c r="J178" s="27"/>
      <c r="K178" s="27"/>
      <c r="L178" s="32"/>
      <c r="M178" s="32"/>
      <c r="N178" s="27"/>
      <c r="O178" s="40"/>
      <c r="R178" s="27"/>
      <c r="S178" s="34"/>
      <c r="T178" s="27"/>
      <c r="W178" s="27"/>
      <c r="X178" s="27"/>
      <c r="Y178" s="27"/>
    </row>
    <row r="179" spans="1:25" x14ac:dyDescent="0.25">
      <c r="A179" s="27"/>
      <c r="B179" s="32"/>
      <c r="D179" s="34"/>
      <c r="E179" s="27"/>
      <c r="I179" s="27"/>
      <c r="J179" s="27"/>
      <c r="K179" s="27"/>
      <c r="L179" s="32"/>
      <c r="M179" s="32"/>
      <c r="N179" s="27"/>
      <c r="O179" s="40"/>
      <c r="R179" s="27"/>
      <c r="S179" s="34"/>
      <c r="T179" s="27"/>
      <c r="W179" s="27"/>
      <c r="X179" s="27"/>
      <c r="Y179" s="27"/>
    </row>
    <row r="180" spans="1:25" x14ac:dyDescent="0.25">
      <c r="A180" s="27"/>
      <c r="B180" s="32"/>
      <c r="D180" s="34"/>
      <c r="E180" s="27"/>
      <c r="I180" s="27"/>
      <c r="J180" s="27"/>
      <c r="K180" s="27"/>
      <c r="L180" s="32"/>
      <c r="M180" s="32"/>
      <c r="N180" s="27"/>
      <c r="O180" s="40"/>
      <c r="R180" s="27"/>
      <c r="S180" s="34"/>
      <c r="T180" s="27"/>
      <c r="W180" s="27"/>
      <c r="X180" s="27"/>
      <c r="Y180" s="27"/>
    </row>
    <row r="181" spans="1:25" x14ac:dyDescent="0.25">
      <c r="A181" s="27"/>
      <c r="B181" s="32"/>
      <c r="D181" s="34"/>
      <c r="E181" s="27"/>
      <c r="I181" s="27"/>
      <c r="J181" s="27"/>
      <c r="K181" s="27"/>
      <c r="L181" s="32"/>
      <c r="M181" s="32"/>
      <c r="N181" s="27"/>
      <c r="O181" s="40"/>
      <c r="R181" s="27"/>
      <c r="S181" s="34"/>
      <c r="T181" s="27"/>
      <c r="W181" s="27"/>
      <c r="X181" s="27"/>
      <c r="Y181" s="27"/>
    </row>
    <row r="182" spans="1:25" x14ac:dyDescent="0.25">
      <c r="A182" s="27"/>
      <c r="B182" s="32"/>
      <c r="D182" s="34"/>
      <c r="E182" s="27"/>
      <c r="I182" s="27"/>
      <c r="J182" s="27"/>
      <c r="K182" s="27"/>
      <c r="L182" s="32"/>
      <c r="M182" s="32"/>
      <c r="N182" s="27"/>
      <c r="O182" s="40"/>
      <c r="R182" s="27"/>
      <c r="S182" s="34"/>
      <c r="T182" s="27"/>
      <c r="W182" s="27"/>
      <c r="X182" s="27"/>
      <c r="Y182" s="27"/>
    </row>
    <row r="183" spans="1:25" x14ac:dyDescent="0.25">
      <c r="A183" s="27"/>
      <c r="B183" s="32"/>
      <c r="D183" s="34"/>
      <c r="E183" s="27"/>
      <c r="I183" s="27"/>
      <c r="J183" s="27"/>
      <c r="K183" s="27"/>
      <c r="L183" s="32"/>
      <c r="M183" s="32"/>
      <c r="N183" s="27"/>
      <c r="O183" s="40"/>
      <c r="R183" s="27"/>
      <c r="S183" s="34"/>
      <c r="T183" s="27"/>
      <c r="W183" s="27"/>
      <c r="X183" s="27"/>
      <c r="Y183" s="27"/>
    </row>
    <row r="184" spans="1:25" x14ac:dyDescent="0.25">
      <c r="A184" s="27"/>
      <c r="B184" s="32"/>
      <c r="D184" s="34"/>
      <c r="E184" s="27"/>
      <c r="I184" s="27"/>
      <c r="J184" s="27"/>
      <c r="K184" s="27"/>
      <c r="L184" s="32"/>
      <c r="M184" s="32"/>
      <c r="N184" s="27"/>
      <c r="O184" s="40"/>
      <c r="R184" s="27"/>
      <c r="S184" s="34"/>
      <c r="T184" s="27"/>
      <c r="W184" s="27"/>
      <c r="X184" s="27"/>
      <c r="Y184" s="27"/>
    </row>
    <row r="185" spans="1:25" x14ac:dyDescent="0.25">
      <c r="A185" s="27"/>
      <c r="B185" s="32"/>
      <c r="D185" s="34"/>
      <c r="E185" s="27"/>
      <c r="I185" s="27"/>
      <c r="J185" s="27"/>
      <c r="K185" s="27"/>
      <c r="L185" s="32"/>
      <c r="M185" s="32"/>
      <c r="N185" s="27"/>
      <c r="O185" s="40"/>
      <c r="R185" s="27"/>
      <c r="S185" s="34"/>
      <c r="T185" s="27"/>
      <c r="W185" s="27"/>
      <c r="X185" s="27"/>
      <c r="Y185" s="27"/>
    </row>
    <row r="186" spans="1:25" x14ac:dyDescent="0.25">
      <c r="A186" s="27"/>
      <c r="B186" s="32"/>
      <c r="D186" s="34"/>
      <c r="E186" s="27"/>
      <c r="I186" s="27"/>
      <c r="J186" s="27"/>
      <c r="K186" s="27"/>
      <c r="L186" s="32"/>
      <c r="M186" s="32"/>
      <c r="N186" s="27"/>
      <c r="O186" s="40"/>
      <c r="R186" s="27"/>
      <c r="S186" s="34"/>
      <c r="T186" s="27"/>
      <c r="W186" s="27"/>
      <c r="X186" s="27"/>
      <c r="Y186" s="27"/>
    </row>
    <row r="187" spans="1:25" x14ac:dyDescent="0.25">
      <c r="A187" s="27"/>
      <c r="B187" s="32"/>
      <c r="D187" s="34"/>
      <c r="E187" s="27"/>
      <c r="I187" s="27"/>
      <c r="J187" s="27"/>
      <c r="K187" s="27"/>
      <c r="L187" s="32"/>
      <c r="M187" s="32"/>
      <c r="N187" s="27"/>
      <c r="O187" s="40"/>
      <c r="R187" s="27"/>
      <c r="S187" s="34"/>
      <c r="T187" s="27"/>
      <c r="W187" s="27"/>
      <c r="X187" s="27"/>
      <c r="Y187" s="27"/>
    </row>
    <row r="188" spans="1:25" x14ac:dyDescent="0.25">
      <c r="A188" s="27"/>
      <c r="B188" s="32"/>
      <c r="D188" s="34"/>
      <c r="E188" s="27"/>
      <c r="I188" s="27"/>
      <c r="J188" s="27"/>
      <c r="K188" s="27"/>
      <c r="L188" s="32"/>
      <c r="M188" s="32"/>
      <c r="N188" s="27"/>
      <c r="O188" s="40"/>
      <c r="R188" s="27"/>
      <c r="S188" s="34"/>
      <c r="T188" s="27"/>
      <c r="W188" s="27"/>
      <c r="X188" s="27"/>
      <c r="Y188" s="27"/>
    </row>
    <row r="189" spans="1:25" x14ac:dyDescent="0.25">
      <c r="A189" s="27"/>
      <c r="B189" s="32"/>
      <c r="D189" s="34"/>
      <c r="E189" s="27"/>
      <c r="I189" s="27"/>
      <c r="J189" s="27"/>
      <c r="K189" s="27"/>
      <c r="L189" s="32"/>
      <c r="M189" s="32"/>
      <c r="N189" s="27"/>
      <c r="O189" s="40"/>
      <c r="R189" s="27"/>
      <c r="S189" s="34"/>
      <c r="T189" s="27"/>
      <c r="W189" s="27"/>
      <c r="X189" s="27"/>
      <c r="Y189" s="27"/>
    </row>
    <row r="190" spans="1:25" x14ac:dyDescent="0.25">
      <c r="A190" s="27"/>
      <c r="B190" s="32"/>
      <c r="D190" s="34"/>
      <c r="E190" s="27"/>
      <c r="I190" s="27"/>
      <c r="J190" s="27"/>
      <c r="K190" s="27"/>
      <c r="L190" s="32"/>
      <c r="M190" s="32"/>
      <c r="N190" s="27"/>
      <c r="O190" s="40"/>
      <c r="R190" s="27"/>
      <c r="S190" s="34"/>
      <c r="T190" s="27"/>
      <c r="W190" s="27"/>
      <c r="X190" s="27"/>
      <c r="Y190" s="27"/>
    </row>
    <row r="191" spans="1:25" x14ac:dyDescent="0.25">
      <c r="A191" s="27"/>
      <c r="B191" s="32"/>
      <c r="D191" s="34"/>
      <c r="E191" s="27"/>
      <c r="I191" s="27"/>
      <c r="J191" s="27"/>
      <c r="K191" s="27"/>
      <c r="L191" s="32"/>
      <c r="M191" s="32"/>
      <c r="N191" s="27"/>
      <c r="O191" s="40"/>
      <c r="R191" s="27"/>
      <c r="S191" s="34"/>
      <c r="T191" s="27"/>
      <c r="W191" s="27"/>
      <c r="X191" s="27"/>
      <c r="Y191" s="27"/>
    </row>
    <row r="192" spans="1:25" x14ac:dyDescent="0.25">
      <c r="A192" s="27"/>
      <c r="B192" s="32"/>
      <c r="D192" s="34"/>
      <c r="E192" s="27"/>
      <c r="I192" s="27"/>
      <c r="J192" s="27"/>
      <c r="K192" s="27"/>
      <c r="L192" s="32"/>
      <c r="M192" s="32"/>
      <c r="N192" s="27"/>
      <c r="O192" s="40"/>
      <c r="R192" s="27"/>
      <c r="S192" s="34"/>
      <c r="T192" s="27"/>
      <c r="W192" s="27"/>
      <c r="X192" s="27"/>
      <c r="Y192" s="27"/>
    </row>
    <row r="193" spans="1:25" x14ac:dyDescent="0.25">
      <c r="A193" s="27"/>
      <c r="B193" s="32"/>
      <c r="D193" s="34"/>
      <c r="E193" s="27"/>
      <c r="I193" s="27"/>
      <c r="J193" s="27"/>
      <c r="K193" s="27"/>
      <c r="L193" s="32"/>
      <c r="M193" s="32"/>
      <c r="N193" s="27"/>
      <c r="O193" s="40"/>
      <c r="R193" s="27"/>
      <c r="S193" s="34"/>
      <c r="T193" s="27"/>
      <c r="W193" s="27"/>
      <c r="X193" s="27"/>
      <c r="Y193" s="27"/>
    </row>
    <row r="194" spans="1:25" x14ac:dyDescent="0.25">
      <c r="A194" s="27"/>
      <c r="B194" s="32"/>
      <c r="D194" s="34"/>
      <c r="E194" s="27"/>
      <c r="I194" s="27"/>
      <c r="J194" s="27"/>
      <c r="K194" s="27"/>
      <c r="L194" s="32"/>
      <c r="M194" s="32"/>
      <c r="N194" s="27"/>
      <c r="O194" s="40"/>
      <c r="R194" s="27"/>
      <c r="S194" s="34"/>
      <c r="T194" s="27"/>
      <c r="W194" s="27"/>
      <c r="X194" s="27"/>
      <c r="Y194" s="27"/>
    </row>
    <row r="195" spans="1:25" x14ac:dyDescent="0.25">
      <c r="A195" s="27"/>
      <c r="B195" s="32"/>
      <c r="D195" s="34"/>
      <c r="E195" s="27"/>
      <c r="I195" s="27"/>
      <c r="J195" s="27"/>
      <c r="K195" s="27"/>
      <c r="L195" s="32"/>
      <c r="M195" s="32"/>
      <c r="N195" s="27"/>
      <c r="O195" s="40"/>
      <c r="R195" s="27"/>
      <c r="S195" s="34"/>
      <c r="T195" s="27"/>
      <c r="W195" s="27"/>
      <c r="X195" s="27"/>
      <c r="Y195" s="27"/>
    </row>
    <row r="196" spans="1:25" x14ac:dyDescent="0.25">
      <c r="A196" s="27"/>
      <c r="B196" s="32"/>
      <c r="D196" s="34"/>
      <c r="E196" s="27"/>
      <c r="I196" s="27"/>
      <c r="J196" s="27"/>
      <c r="K196" s="27"/>
      <c r="L196" s="32"/>
      <c r="M196" s="32"/>
      <c r="N196" s="27"/>
      <c r="O196" s="40"/>
      <c r="R196" s="27"/>
      <c r="S196" s="34"/>
      <c r="T196" s="27"/>
      <c r="W196" s="27"/>
      <c r="X196" s="27"/>
      <c r="Y196" s="27"/>
    </row>
    <row r="197" spans="1:25" x14ac:dyDescent="0.25">
      <c r="A197" s="27"/>
      <c r="B197" s="32"/>
      <c r="D197" s="34"/>
      <c r="E197" s="27"/>
      <c r="I197" s="27"/>
      <c r="J197" s="27"/>
      <c r="K197" s="27"/>
      <c r="L197" s="32"/>
      <c r="M197" s="32"/>
      <c r="N197" s="27"/>
      <c r="O197" s="40"/>
      <c r="R197" s="27"/>
      <c r="S197" s="34"/>
      <c r="T197" s="27"/>
      <c r="W197" s="27"/>
      <c r="X197" s="27"/>
      <c r="Y197" s="27"/>
    </row>
    <row r="198" spans="1:25" x14ac:dyDescent="0.25">
      <c r="A198" s="27"/>
      <c r="B198" s="32"/>
      <c r="D198" s="34"/>
      <c r="E198" s="27"/>
      <c r="I198" s="27"/>
      <c r="J198" s="27"/>
      <c r="K198" s="27"/>
      <c r="L198" s="32"/>
      <c r="M198" s="32"/>
      <c r="N198" s="27"/>
      <c r="O198" s="40"/>
      <c r="R198" s="27"/>
      <c r="S198" s="34"/>
      <c r="T198" s="27"/>
      <c r="W198" s="27"/>
      <c r="X198" s="27"/>
      <c r="Y198" s="27"/>
    </row>
    <row r="199" spans="1:25" x14ac:dyDescent="0.25">
      <c r="A199" s="27"/>
      <c r="B199" s="32"/>
      <c r="D199" s="34"/>
      <c r="E199" s="27"/>
      <c r="I199" s="27"/>
      <c r="J199" s="27"/>
      <c r="K199" s="27"/>
      <c r="L199" s="32"/>
      <c r="M199" s="32"/>
      <c r="N199" s="27"/>
      <c r="O199" s="40"/>
      <c r="R199" s="27"/>
      <c r="S199" s="34"/>
      <c r="T199" s="27"/>
      <c r="W199" s="27"/>
      <c r="X199" s="27"/>
      <c r="Y199" s="27"/>
    </row>
    <row r="200" spans="1:25" x14ac:dyDescent="0.25">
      <c r="A200" s="27"/>
      <c r="B200" s="32"/>
      <c r="D200" s="34"/>
      <c r="E200" s="27"/>
      <c r="I200" s="27"/>
      <c r="J200" s="27"/>
      <c r="K200" s="27"/>
      <c r="L200" s="32"/>
      <c r="M200" s="32"/>
      <c r="N200" s="27"/>
      <c r="O200" s="40"/>
      <c r="R200" s="27"/>
      <c r="S200" s="34"/>
      <c r="T200" s="27"/>
      <c r="W200" s="27"/>
      <c r="X200" s="27"/>
      <c r="Y200" s="27"/>
    </row>
    <row r="201" spans="1:25" x14ac:dyDescent="0.25">
      <c r="A201" s="27"/>
      <c r="B201" s="32"/>
      <c r="D201" s="34"/>
      <c r="E201" s="27"/>
      <c r="I201" s="27"/>
      <c r="J201" s="27"/>
      <c r="K201" s="27"/>
      <c r="L201" s="32"/>
      <c r="M201" s="32"/>
      <c r="N201" s="27"/>
      <c r="O201" s="40"/>
      <c r="R201" s="27"/>
      <c r="S201" s="34"/>
      <c r="T201" s="27"/>
      <c r="W201" s="27"/>
      <c r="X201" s="27"/>
      <c r="Y201" s="27"/>
    </row>
    <row r="202" spans="1:25" x14ac:dyDescent="0.25">
      <c r="A202" s="27"/>
      <c r="B202" s="32"/>
      <c r="D202" s="34"/>
      <c r="E202" s="27"/>
      <c r="I202" s="27"/>
      <c r="J202" s="27"/>
      <c r="K202" s="27"/>
      <c r="L202" s="32"/>
      <c r="M202" s="32"/>
      <c r="N202" s="27"/>
      <c r="O202" s="40"/>
      <c r="R202" s="27"/>
      <c r="S202" s="34"/>
      <c r="T202" s="27"/>
      <c r="W202" s="27"/>
      <c r="X202" s="27"/>
      <c r="Y202" s="27"/>
    </row>
    <row r="203" spans="1:25" x14ac:dyDescent="0.25">
      <c r="A203" s="27"/>
      <c r="B203" s="32"/>
      <c r="D203" s="34"/>
      <c r="E203" s="27"/>
      <c r="I203" s="27"/>
      <c r="J203" s="27"/>
      <c r="K203" s="27"/>
      <c r="L203" s="32"/>
      <c r="M203" s="32"/>
      <c r="N203" s="27"/>
      <c r="O203" s="40"/>
      <c r="R203" s="27"/>
      <c r="S203" s="34"/>
      <c r="T203" s="27"/>
      <c r="W203" s="27"/>
      <c r="X203" s="27"/>
      <c r="Y203" s="27"/>
    </row>
    <row r="204" spans="1:25" x14ac:dyDescent="0.25">
      <c r="A204" s="27"/>
      <c r="B204" s="32"/>
      <c r="D204" s="34"/>
      <c r="E204" s="27"/>
      <c r="I204" s="27"/>
      <c r="J204" s="27"/>
      <c r="K204" s="27"/>
      <c r="L204" s="32"/>
      <c r="M204" s="32"/>
      <c r="N204" s="27"/>
      <c r="O204" s="40"/>
      <c r="R204" s="27"/>
      <c r="S204" s="34"/>
      <c r="T204" s="27"/>
      <c r="W204" s="27"/>
      <c r="X204" s="27"/>
      <c r="Y204" s="2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9763-97E9-4D2D-8836-3C9B54182B00}">
  <sheetPr codeName="Sheet2"/>
  <dimension ref="A1:N19"/>
  <sheetViews>
    <sheetView workbookViewId="0">
      <selection sqref="A1:D9"/>
    </sheetView>
  </sheetViews>
  <sheetFormatPr defaultRowHeight="13.8" x14ac:dyDescent="0.25"/>
  <cols>
    <col min="1" max="1" width="11.44140625" customWidth="1"/>
    <col min="2" max="2" width="16.109375" customWidth="1"/>
    <col min="3" max="3" width="12.77734375" customWidth="1"/>
  </cols>
  <sheetData>
    <row r="1" spans="1:14" x14ac:dyDescent="0.25">
      <c r="A1" s="1" t="s">
        <v>0</v>
      </c>
      <c r="B1" s="1" t="s">
        <v>8</v>
      </c>
      <c r="C1" t="s">
        <v>7</v>
      </c>
      <c r="D1" s="1" t="s">
        <v>9</v>
      </c>
    </row>
    <row r="2" spans="1:14" s="7" customFormat="1" x14ac:dyDescent="0.25">
      <c r="A2" s="6" t="s">
        <v>1</v>
      </c>
      <c r="B2" s="7">
        <v>2</v>
      </c>
      <c r="C2" s="7">
        <v>1</v>
      </c>
      <c r="D2" s="7">
        <v>3</v>
      </c>
    </row>
    <row r="3" spans="1:14" s="7" customFormat="1" x14ac:dyDescent="0.25">
      <c r="A3" s="6" t="s">
        <v>2</v>
      </c>
      <c r="B3" s="7">
        <v>3</v>
      </c>
      <c r="C3" s="7">
        <v>3</v>
      </c>
      <c r="D3" s="7">
        <v>2</v>
      </c>
    </row>
    <row r="4" spans="1:14" s="7" customFormat="1" x14ac:dyDescent="0.25">
      <c r="A4" s="6" t="s">
        <v>3</v>
      </c>
      <c r="B4" s="7">
        <v>1</v>
      </c>
      <c r="C4" s="7">
        <v>3</v>
      </c>
      <c r="D4" s="7">
        <v>1</v>
      </c>
    </row>
    <row r="5" spans="1:14" s="9" customFormat="1" x14ac:dyDescent="0.25">
      <c r="A5" s="8" t="s">
        <v>4</v>
      </c>
      <c r="B5" s="9">
        <v>1</v>
      </c>
      <c r="C5" s="9">
        <v>3</v>
      </c>
      <c r="D5" s="9">
        <v>2</v>
      </c>
    </row>
    <row r="6" spans="1:14" s="9" customFormat="1" x14ac:dyDescent="0.25">
      <c r="A6" s="8" t="s">
        <v>5</v>
      </c>
      <c r="B6" s="9">
        <v>1</v>
      </c>
      <c r="C6" s="9">
        <v>1</v>
      </c>
      <c r="D6" s="9">
        <v>2</v>
      </c>
    </row>
    <row r="7" spans="1:14" x14ac:dyDescent="0.25">
      <c r="A7" s="1" t="s">
        <v>6</v>
      </c>
      <c r="B7">
        <v>3</v>
      </c>
      <c r="C7" s="7">
        <v>3</v>
      </c>
      <c r="D7">
        <v>2</v>
      </c>
    </row>
    <row r="8" spans="1:14" x14ac:dyDescent="0.25">
      <c r="A8" s="5" t="s">
        <v>10</v>
      </c>
      <c r="B8">
        <v>2</v>
      </c>
      <c r="C8" s="7">
        <v>1</v>
      </c>
      <c r="D8">
        <v>0</v>
      </c>
    </row>
    <row r="9" spans="1:14" x14ac:dyDescent="0.25">
      <c r="A9" s="4" t="s">
        <v>11</v>
      </c>
      <c r="B9">
        <v>3</v>
      </c>
      <c r="C9" s="7">
        <v>1</v>
      </c>
      <c r="D9">
        <v>0</v>
      </c>
    </row>
    <row r="12" spans="1:14" x14ac:dyDescent="0.25">
      <c r="B12">
        <f>145*0.6</f>
        <v>87</v>
      </c>
    </row>
    <row r="13" spans="1:14" x14ac:dyDescent="0.25">
      <c r="B13">
        <f>145*0.5</f>
        <v>72.5</v>
      </c>
    </row>
    <row r="16" spans="1:14" x14ac:dyDescent="0.25">
      <c r="B16" s="50" t="s">
        <v>12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</row>
    <row r="17" spans="2:14" x14ac:dyDescent="0.25"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2:14" x14ac:dyDescent="0.25"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2:14" x14ac:dyDescent="0.25"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</sheetData>
  <mergeCells count="1">
    <mergeCell ref="B16:N1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国家基础</vt:lpstr>
      <vt:lpstr>疫情处置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曹雪</dc:creator>
  <cp:lastModifiedBy>Samsung</cp:lastModifiedBy>
  <dcterms:created xsi:type="dcterms:W3CDTF">2015-06-05T18:19:34Z</dcterms:created>
  <dcterms:modified xsi:type="dcterms:W3CDTF">2022-03-16T08:20:58Z</dcterms:modified>
</cp:coreProperties>
</file>